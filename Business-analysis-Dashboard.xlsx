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overall_vinsup\EXCEL\worksheets_excel\"/>
    </mc:Choice>
  </mc:AlternateContent>
  <xr:revisionPtr revIDLastSave="0" documentId="13_ncr:1_{1B24E91F-4FDC-4933-A5A2-71D6DC5A553E}" xr6:coauthVersionLast="47" xr6:coauthVersionMax="47" xr10:uidLastSave="{00000000-0000-0000-0000-000000000000}"/>
  <bookViews>
    <workbookView xWindow="-108" yWindow="-108" windowWidth="23256" windowHeight="13176" xr2:uid="{02A49316-BA18-495D-8962-D1A784A58536}"/>
  </bookViews>
  <sheets>
    <sheet name="PIVOT" sheetId="3" r:id="rId1"/>
    <sheet name="raw data" sheetId="1" r:id="rId2"/>
    <sheet name="DASHBOARD" sheetId="2" r:id="rId3"/>
  </sheets>
  <definedNames>
    <definedName name="NativeTimeline_Ship_Date">#N/A</definedName>
    <definedName name="Slicer_Category">#N/A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alcChain>
</file>

<file path=xl/sharedStrings.xml><?xml version="1.0" encoding="utf-8"?>
<sst xmlns="http://schemas.openxmlformats.org/spreadsheetml/2006/main" count="8041" uniqueCount="2051">
  <si>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</si>
  <si>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</si>
  <si>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</si>
  <si>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</si>
  <si>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</si>
  <si>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</si>
  <si>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</si>
  <si>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</si>
  <si>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</si>
  <si>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</si>
  <si>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</si>
  <si>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</si>
  <si>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</si>
  <si>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</si>
  <si>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</si>
  <si>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</si>
  <si>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</si>
  <si>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</si>
  <si>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</si>
  <si>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</si>
  <si>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</si>
  <si>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</si>
  <si>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</si>
  <si>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</si>
  <si>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</si>
  <si>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</si>
  <si>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</si>
  <si>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</si>
  <si>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</si>
  <si>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</si>
  <si>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</si>
  <si>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</si>
  <si>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</si>
  <si>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</si>
  <si>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</si>
  <si>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</si>
  <si>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</si>
  <si>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</si>
  <si>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</si>
  <si>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</si>
  <si>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</si>
  <si>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</si>
  <si>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</si>
  <si>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</si>
  <si>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</si>
  <si>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</si>
  <si>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</si>
  <si>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</si>
  <si>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</si>
  <si>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</si>
  <si>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</si>
  <si>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</si>
  <si>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</si>
  <si>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</si>
  <si>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</si>
  <si>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</si>
  <si>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</si>
  <si>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</si>
  <si>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</si>
  <si>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</si>
  <si>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</si>
  <si>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</si>
  <si>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</si>
  <si>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</si>
  <si>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</si>
  <si>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</si>
  <si>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</si>
  <si>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</si>
  <si>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</si>
  <si>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</si>
  <si>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</si>
  <si>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</si>
  <si>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</si>
  <si>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</si>
  <si>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</si>
  <si>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</si>
  <si>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</si>
  <si>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</si>
  <si>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</si>
  <si>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</si>
  <si>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</si>
  <si>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</si>
  <si>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</si>
  <si>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</si>
  <si>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</si>
  <si>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</si>
  <si>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</si>
  <si>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</si>
  <si>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</si>
  <si>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</si>
  <si>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</si>
  <si>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</si>
  <si>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</si>
  <si>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</si>
  <si>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</si>
  <si>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</si>
  <si>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</si>
  <si>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</si>
  <si>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</si>
  <si>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</si>
  <si>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</si>
  <si>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</si>
  <si>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</si>
  <si>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</si>
  <si>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</si>
  <si>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</si>
  <si>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</si>
  <si>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</si>
  <si>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</si>
  <si>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</si>
  <si>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</si>
  <si>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</si>
  <si>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</si>
  <si>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</si>
  <si>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</si>
  <si>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</si>
  <si>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</si>
  <si>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</si>
  <si>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</si>
  <si>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</si>
  <si>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</si>
  <si>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</si>
  <si>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</si>
  <si>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</si>
  <si>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</si>
  <si>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</si>
  <si>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</si>
  <si>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</si>
  <si>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</si>
  <si>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</si>
  <si>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</si>
  <si>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</si>
  <si>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</si>
  <si>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</si>
  <si>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</si>
  <si>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</si>
  <si>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</si>
  <si>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</si>
  <si>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</si>
  <si>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</si>
  <si>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</si>
  <si>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</si>
  <si>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</si>
  <si>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</si>
  <si>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</si>
  <si>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</si>
  <si>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</si>
  <si>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</si>
  <si>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</si>
  <si>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</si>
  <si>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</si>
  <si>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</si>
  <si>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</si>
  <si>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</si>
  <si>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</si>
  <si>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</si>
  <si>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</si>
  <si>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</si>
  <si>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</si>
  <si>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</si>
  <si>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</si>
  <si>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</si>
  <si>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</si>
  <si>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</si>
  <si>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</si>
  <si>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</si>
  <si>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</si>
  <si>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</si>
  <si>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</si>
  <si>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</si>
  <si>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</si>
  <si>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</si>
  <si>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</si>
  <si>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</si>
  <si>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</si>
  <si>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</si>
  <si>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</si>
  <si>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</si>
  <si>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</si>
  <si>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</si>
  <si>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</si>
  <si>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</si>
  <si>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</si>
  <si>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</si>
  <si>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</si>
  <si>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</si>
  <si>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</si>
  <si>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</si>
  <si>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</si>
  <si>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</si>
  <si>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</si>
  <si>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</si>
  <si>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</si>
  <si>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</si>
  <si>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</si>
  <si>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</si>
  <si>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</si>
  <si>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</si>
  <si>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</si>
  <si>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</si>
  <si>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</si>
  <si>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</si>
  <si>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</si>
  <si>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</si>
  <si>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</si>
  <si>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</si>
  <si>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</si>
  <si>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</si>
  <si>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</si>
  <si>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</si>
  <si>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</si>
  <si>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</si>
  <si>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</si>
  <si>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</si>
  <si>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</si>
  <si>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</si>
  <si>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</si>
  <si>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</si>
  <si>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</si>
  <si>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</si>
  <si>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</si>
  <si>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</si>
  <si>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</si>
  <si>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</si>
  <si>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</si>
  <si>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</si>
  <si>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</si>
  <si>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</si>
  <si>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</si>
  <si>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</si>
  <si>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</si>
  <si>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</si>
  <si>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</si>
  <si>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</si>
  <si>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</si>
  <si>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</si>
  <si>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</si>
  <si>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</si>
  <si>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</si>
  <si>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</si>
  <si>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</si>
  <si>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</si>
  <si>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</si>
  <si>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</si>
  <si>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</si>
  <si>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</si>
  <si>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</si>
  <si>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</si>
  <si>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</si>
  <si>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</si>
  <si>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</si>
  <si>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</si>
  <si>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</si>
  <si>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</si>
  <si>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</si>
  <si>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</si>
  <si>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</si>
  <si>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</si>
  <si>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</si>
  <si>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</si>
  <si>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</si>
  <si>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</si>
  <si>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</si>
  <si>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</si>
  <si>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</si>
  <si>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</si>
  <si>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</si>
  <si>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</si>
  <si>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</si>
  <si>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</si>
  <si>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</si>
  <si>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</si>
  <si>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</si>
  <si>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</si>
  <si>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</si>
  <si>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</si>
  <si>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</si>
  <si>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</si>
  <si>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</si>
  <si>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</si>
  <si>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</si>
  <si>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</si>
  <si>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</si>
  <si>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</si>
  <si>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</si>
  <si>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</si>
  <si>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</si>
  <si>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</si>
  <si>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</si>
  <si>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</si>
  <si>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</si>
  <si>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</si>
  <si>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</si>
  <si>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</si>
  <si>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</si>
  <si>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</si>
  <si>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</si>
  <si>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</si>
  <si>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</si>
  <si>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</si>
  <si>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</si>
  <si>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</si>
  <si>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</si>
  <si>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</si>
  <si>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</si>
  <si>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</si>
  <si>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</si>
  <si>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</si>
  <si>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</si>
  <si>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</si>
  <si>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</si>
  <si>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</si>
  <si>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</si>
  <si>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</si>
  <si>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</si>
  <si>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</si>
  <si>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</si>
  <si>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</si>
  <si>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</si>
  <si>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</si>
  <si>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</si>
  <si>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</si>
  <si>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</si>
  <si>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</si>
  <si>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</si>
  <si>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</si>
  <si>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</si>
  <si>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</si>
  <si>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</si>
  <si>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</si>
  <si>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</si>
  <si>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</si>
  <si>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</si>
  <si>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</si>
  <si>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</si>
  <si>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</si>
  <si>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</si>
  <si>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</si>
  <si>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</si>
  <si>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</si>
  <si>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</si>
  <si>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</si>
  <si>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</si>
  <si>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</si>
  <si>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</si>
  <si>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</si>
  <si>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</si>
  <si>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</si>
  <si>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</si>
  <si>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</si>
  <si>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</si>
  <si>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</si>
  <si>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</si>
  <si>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</si>
  <si>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</si>
  <si>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</si>
  <si>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</si>
  <si>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</si>
  <si>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</si>
  <si>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</si>
  <si>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</si>
  <si>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</si>
  <si>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</si>
  <si>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</si>
  <si>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</si>
  <si>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</si>
  <si>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</si>
  <si>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</si>
  <si>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</si>
  <si>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</si>
  <si>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</si>
  <si>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</si>
  <si>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</si>
  <si>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</si>
  <si>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</si>
  <si>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</si>
  <si>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</si>
  <si>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</si>
  <si>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</si>
  <si>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</si>
  <si>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</si>
  <si>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</si>
  <si>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</si>
  <si>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</si>
  <si>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</si>
  <si>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</si>
  <si>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</si>
  <si>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</si>
  <si>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</si>
  <si>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</si>
  <si>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</si>
  <si>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</si>
  <si>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</si>
  <si>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</si>
  <si>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</si>
  <si>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</si>
  <si>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</si>
  <si>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</si>
  <si>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</si>
  <si>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</si>
  <si>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</si>
  <si>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</si>
  <si>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</si>
  <si>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</si>
  <si>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</si>
  <si>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</si>
  <si>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</si>
  <si>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</si>
  <si>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</si>
  <si>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</si>
  <si>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</si>
  <si>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</si>
  <si>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</si>
  <si>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</si>
  <si>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</si>
  <si>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</si>
  <si>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</si>
  <si>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</si>
  <si>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</si>
  <si>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</si>
  <si>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</si>
  <si>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</si>
  <si>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</si>
  <si>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</si>
  <si>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</si>
  <si>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</si>
  <si>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</si>
  <si>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</si>
  <si>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</si>
  <si>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</si>
  <si>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</si>
  <si>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</si>
  <si>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</si>
  <si>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</si>
  <si>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</si>
  <si>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</si>
  <si>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</si>
  <si>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</si>
  <si>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</si>
  <si>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</si>
  <si>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</si>
  <si>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</si>
  <si>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</si>
  <si>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</si>
  <si>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</si>
  <si>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</si>
  <si>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</si>
  <si>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</si>
  <si>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</si>
  <si>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</si>
  <si>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</si>
  <si>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</si>
  <si>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</si>
  <si>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</si>
  <si>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</si>
  <si>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</si>
  <si>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</si>
  <si>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</si>
  <si>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</si>
  <si>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</si>
  <si>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</si>
  <si>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</si>
  <si>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</si>
  <si>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</si>
  <si>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</si>
  <si>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</si>
  <si>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</si>
  <si>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</si>
  <si>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</si>
  <si>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</si>
  <si>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</si>
  <si>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</si>
  <si>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</si>
  <si>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</si>
  <si>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</si>
  <si>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</si>
  <si>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</si>
  <si>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</si>
  <si>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</si>
  <si>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</si>
  <si>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</si>
  <si>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</si>
  <si>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</si>
  <si>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</si>
  <si>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</si>
  <si>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</si>
  <si>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</si>
  <si>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</si>
  <si>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</si>
  <si>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</si>
  <si>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</si>
  <si>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</si>
  <si>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</si>
  <si>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</si>
  <si>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</si>
  <si>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</si>
  <si>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</si>
  <si>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</si>
  <si>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</si>
  <si>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</si>
  <si>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</si>
  <si>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</si>
  <si>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</si>
  <si>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</si>
  <si>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</si>
  <si>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</si>
  <si>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</si>
  <si>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</si>
  <si>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</si>
  <si>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</si>
  <si>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</si>
  <si>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</si>
  <si>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</si>
  <si>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</si>
  <si>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</si>
  <si>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</si>
  <si>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</si>
  <si>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</si>
  <si>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</si>
  <si>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</si>
  <si>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</si>
  <si>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</si>
  <si>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</si>
  <si>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</si>
  <si>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</si>
  <si>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</si>
  <si>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</si>
  <si>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</si>
  <si>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</si>
  <si>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</si>
  <si>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</si>
  <si>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</si>
  <si>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</si>
  <si>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</si>
  <si>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</si>
  <si>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</si>
  <si>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</si>
  <si>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</si>
  <si>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</si>
  <si>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</si>
  <si>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</si>
  <si>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</si>
  <si>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</si>
  <si>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</si>
  <si>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</si>
  <si>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</si>
  <si>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</si>
  <si>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</si>
  <si>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</si>
  <si>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</si>
  <si>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</si>
  <si>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</si>
  <si>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</si>
  <si>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</si>
  <si>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</si>
  <si>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</si>
  <si>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</si>
  <si>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</si>
  <si>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</si>
  <si>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</si>
  <si>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</si>
  <si>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</si>
  <si>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</si>
  <si>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</si>
  <si>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</si>
  <si>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</si>
  <si>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</si>
  <si>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</si>
  <si>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</si>
  <si>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</si>
  <si>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</si>
  <si>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</si>
  <si>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</si>
  <si>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</si>
  <si>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</si>
  <si>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</si>
  <si>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</si>
  <si>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</si>
  <si>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</si>
  <si>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</si>
  <si>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</si>
  <si>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</si>
  <si>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</si>
  <si>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</si>
  <si>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</si>
  <si>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</si>
  <si>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</si>
  <si>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</si>
  <si>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</si>
  <si>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</si>
  <si>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</si>
  <si>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</si>
  <si>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</si>
  <si>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</si>
  <si>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</si>
  <si>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</si>
  <si>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</si>
  <si>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</si>
  <si>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</si>
  <si>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</si>
  <si>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</si>
  <si>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</si>
  <si>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</si>
  <si>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</si>
  <si>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</si>
  <si>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</si>
  <si>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</si>
  <si>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</si>
  <si>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</si>
  <si>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</si>
  <si>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</si>
  <si>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</si>
  <si>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</si>
  <si>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</si>
  <si>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</si>
  <si>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</si>
  <si>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</si>
  <si>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</si>
  <si>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</si>
  <si>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</si>
  <si>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</si>
  <si>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</si>
  <si>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</si>
  <si>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</si>
  <si>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</si>
  <si>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</si>
  <si>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</si>
  <si>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</si>
  <si>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</si>
  <si>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</si>
  <si>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</si>
  <si>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</si>
  <si>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</si>
  <si>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</si>
  <si>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</si>
  <si>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</si>
  <si>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</si>
  <si>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</si>
  <si>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</si>
  <si>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</si>
  <si>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</si>
  <si>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</si>
  <si>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</si>
  <si>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</si>
  <si>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</si>
  <si>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</si>
  <si>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</si>
  <si>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</si>
  <si>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</si>
  <si>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</si>
  <si>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</si>
  <si>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</si>
  <si>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</si>
  <si>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</si>
  <si>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</si>
  <si>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</si>
  <si>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</si>
  <si>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</si>
  <si>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</si>
  <si>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</si>
  <si>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</si>
  <si>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</si>
  <si>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</si>
  <si>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</si>
  <si>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</si>
  <si>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</si>
  <si>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</si>
  <si>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</si>
  <si>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</si>
  <si>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</si>
  <si>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</si>
  <si>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</si>
  <si>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</si>
  <si>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</si>
  <si>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</si>
  <si>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</si>
  <si>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</si>
  <si>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</si>
  <si>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</si>
  <si>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</si>
  <si>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</si>
  <si>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</si>
  <si>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</si>
  <si>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</si>
  <si>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</si>
  <si>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</si>
  <si>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</si>
  <si>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</si>
  <si>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</si>
  <si>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</si>
  <si>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</si>
  <si>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</si>
  <si>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</si>
  <si>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</si>
  <si>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</si>
  <si>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</si>
  <si>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</si>
  <si>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</si>
  <si>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</si>
  <si>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</si>
  <si>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</si>
  <si>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</si>
  <si>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</si>
  <si>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</si>
  <si>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</si>
  <si>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</si>
  <si>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</si>
  <si>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</si>
  <si>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</si>
  <si>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</si>
  <si>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</si>
  <si>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</si>
  <si>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</si>
  <si>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</si>
  <si>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</si>
  <si>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</si>
  <si>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</si>
  <si>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</si>
  <si>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</si>
  <si>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</si>
  <si>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</si>
  <si>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</si>
  <si>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</si>
  <si>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</si>
  <si>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</si>
  <si>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</si>
  <si>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</si>
  <si>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</si>
  <si>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</si>
  <si>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</si>
  <si>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</si>
  <si>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</si>
  <si>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</si>
  <si>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</si>
  <si>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</si>
  <si>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</si>
  <si>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</si>
  <si>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</si>
  <si>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</si>
  <si>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</si>
  <si>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</si>
  <si>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</si>
  <si>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</si>
  <si>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</si>
  <si>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</si>
  <si>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</si>
  <si>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</si>
  <si>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</si>
  <si>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</si>
  <si>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</si>
  <si>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</si>
  <si>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</si>
  <si>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</si>
  <si>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</si>
  <si>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</si>
  <si>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</si>
  <si>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</si>
  <si>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</si>
  <si>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</si>
  <si>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</si>
  <si>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</si>
  <si>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</si>
  <si>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</si>
  <si>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</si>
  <si>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</si>
  <si>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</si>
  <si>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</si>
  <si>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</si>
  <si>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</si>
  <si>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</si>
  <si>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</si>
  <si>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</si>
  <si>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</si>
  <si>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</si>
  <si>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</si>
  <si>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</si>
  <si>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</si>
  <si>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</si>
  <si>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</si>
  <si>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</si>
  <si>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</si>
  <si>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</si>
  <si>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</si>
  <si>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</si>
  <si>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</si>
  <si>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</si>
  <si>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</si>
  <si>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</si>
  <si>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</si>
  <si>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</si>
  <si>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</si>
  <si>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</si>
  <si>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</si>
  <si>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</si>
  <si>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</si>
  <si>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</si>
  <si>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</si>
  <si>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</si>
  <si>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</si>
  <si>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</si>
  <si>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</si>
  <si>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</si>
  <si>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</si>
  <si>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</si>
  <si>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</si>
  <si>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</si>
  <si>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</si>
  <si>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</si>
  <si>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</si>
  <si>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</si>
  <si>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</si>
  <si>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</si>
  <si>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</si>
  <si>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</si>
  <si>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</si>
  <si>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</si>
  <si>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</si>
  <si>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</si>
  <si>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</si>
  <si>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</si>
  <si>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</si>
  <si>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</si>
  <si>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</si>
  <si>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</si>
  <si>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</si>
  <si>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</si>
  <si>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</si>
  <si>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</si>
  <si>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</si>
  <si>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</si>
  <si>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</si>
  <si>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</si>
  <si>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</si>
  <si>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</si>
  <si>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</si>
  <si>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</si>
  <si>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</si>
  <si>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</si>
  <si>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</si>
  <si>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</si>
  <si>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</si>
  <si>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</si>
  <si>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</si>
  <si>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</si>
  <si>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</si>
  <si>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</si>
  <si>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</si>
  <si>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</si>
  <si>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</si>
  <si>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</si>
  <si>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</si>
  <si>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</si>
  <si>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</si>
  <si>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</si>
  <si>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</si>
  <si>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</si>
  <si>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</si>
  <si>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</si>
  <si>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</si>
  <si>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</si>
  <si>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</si>
  <si>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</si>
  <si>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</si>
  <si>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</si>
  <si>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</si>
  <si>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</si>
  <si>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</si>
  <si>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</si>
  <si>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</si>
  <si>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</si>
  <si>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</si>
  <si>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</si>
  <si>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</si>
  <si>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</si>
  <si>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</si>
  <si>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</si>
  <si>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</si>
  <si>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</si>
  <si>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</si>
  <si>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</si>
  <si>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</si>
  <si>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</si>
  <si>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</si>
  <si>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</si>
  <si>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</si>
  <si>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</si>
  <si>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</si>
  <si>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</si>
  <si>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</si>
  <si>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</si>
  <si>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</si>
  <si>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</si>
  <si>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</si>
  <si>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</si>
  <si>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</si>
  <si>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</si>
  <si>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</si>
  <si>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</si>
  <si>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</si>
  <si>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</si>
  <si>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</si>
  <si>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</si>
  <si>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</si>
  <si>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</si>
  <si>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</si>
  <si>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</si>
  <si>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</si>
  <si>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</si>
  <si>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</si>
  <si>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</si>
  <si>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</si>
  <si>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</si>
  <si>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</si>
  <si>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</si>
  <si>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</si>
  <si>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</si>
  <si>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</si>
  <si>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</si>
  <si>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</si>
  <si>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</si>
  <si>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</si>
  <si>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</si>
  <si>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</si>
  <si>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</si>
  <si>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</si>
  <si>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</si>
  <si>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</si>
  <si>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</si>
  <si>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</si>
  <si>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</si>
  <si>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</si>
  <si>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</si>
  <si>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</si>
  <si>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</si>
  <si>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</si>
  <si>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</si>
  <si>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</si>
  <si>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</si>
  <si>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</si>
  <si>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</si>
  <si>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</si>
  <si>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</si>
  <si>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</si>
  <si>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</si>
  <si>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</si>
  <si>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</si>
  <si>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</si>
  <si>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</si>
  <si>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</si>
  <si>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</si>
  <si>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</si>
  <si>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</si>
  <si>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</si>
  <si>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</si>
  <si>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</si>
  <si>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</si>
  <si>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</si>
  <si>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</si>
  <si>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</si>
  <si>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</si>
  <si>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</si>
  <si>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</si>
  <si>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</si>
  <si>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</si>
  <si>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</si>
  <si>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</si>
  <si>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</si>
  <si>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</si>
  <si>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</si>
  <si>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</si>
  <si>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</si>
  <si>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</si>
  <si>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</si>
  <si>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</si>
  <si>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</si>
  <si>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</si>
  <si>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</si>
  <si>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</si>
  <si>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</si>
  <si>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</si>
  <si>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</si>
  <si>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</si>
  <si>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</si>
  <si>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</si>
  <si>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</si>
  <si>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</si>
  <si>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</si>
  <si>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</si>
  <si>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</si>
  <si>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</si>
  <si>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</si>
  <si>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</si>
  <si>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</si>
  <si>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</si>
  <si>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</si>
  <si>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</si>
  <si>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</si>
  <si>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</si>
  <si>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</si>
  <si>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</si>
  <si>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</si>
  <si>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</si>
  <si>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</si>
  <si>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</si>
  <si>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</si>
  <si>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</si>
  <si>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</si>
  <si>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</si>
  <si>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</si>
  <si>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</si>
  <si>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</si>
  <si>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</si>
  <si>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</si>
  <si>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</si>
  <si>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</si>
  <si>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</si>
  <si>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</si>
  <si>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</si>
  <si>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</si>
  <si>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</si>
  <si>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</si>
  <si>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</si>
  <si>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</si>
  <si>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</si>
  <si>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</si>
  <si>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</si>
  <si>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</si>
  <si>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</si>
  <si>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</si>
  <si>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</si>
  <si>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</si>
  <si>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</si>
  <si>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</si>
  <si>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</si>
  <si>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</si>
  <si>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</si>
  <si>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</si>
  <si>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</si>
  <si>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</si>
  <si>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</si>
  <si>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</si>
  <si>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</si>
  <si>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</si>
  <si>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</si>
  <si>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</si>
  <si>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</si>
  <si>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</si>
  <si>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</si>
  <si>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</si>
  <si>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</si>
  <si>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</si>
  <si>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</si>
  <si>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</si>
  <si>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</si>
  <si>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</si>
  <si>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</si>
  <si>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</si>
  <si>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</si>
  <si>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</si>
  <si>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</si>
  <si>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</si>
  <si>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</si>
  <si>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</si>
  <si>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</si>
  <si>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</si>
  <si>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</si>
  <si>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</si>
  <si>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</si>
  <si>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</si>
  <si>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</si>
  <si>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</si>
  <si>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</si>
  <si>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</si>
  <si>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</si>
  <si>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</si>
  <si>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</si>
  <si>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</si>
  <si>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</si>
  <si>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</si>
  <si>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</si>
  <si>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</si>
  <si>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</si>
  <si>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</si>
  <si>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</si>
  <si>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</si>
  <si>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</si>
  <si>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</si>
  <si>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</si>
  <si>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</si>
  <si>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</si>
  <si>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</si>
  <si>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</si>
  <si>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</si>
  <si>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</si>
  <si>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</si>
  <si>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</si>
  <si>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</si>
  <si>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</si>
  <si>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</si>
  <si>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</si>
  <si>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</si>
  <si>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</si>
  <si>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</si>
  <si>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</si>
  <si>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</si>
  <si>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</si>
  <si>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</si>
  <si>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</si>
  <si>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</si>
  <si>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</si>
  <si>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</si>
  <si>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</si>
  <si>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</si>
  <si>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</si>
  <si>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</si>
  <si>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</si>
  <si>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</si>
  <si>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</si>
  <si>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</si>
  <si>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</si>
  <si>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</si>
  <si>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</si>
  <si>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</si>
  <si>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</si>
  <si>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</si>
  <si>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</si>
  <si>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</si>
  <si>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</si>
  <si>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</si>
  <si>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</si>
  <si>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</si>
  <si>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</si>
  <si>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</si>
  <si>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</si>
  <si>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</si>
  <si>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</si>
  <si>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</si>
  <si>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</si>
  <si>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</si>
  <si>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</si>
  <si>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</si>
  <si>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</si>
  <si>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</si>
  <si>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</si>
  <si>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</si>
  <si>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</si>
  <si>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</si>
  <si>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</si>
  <si>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</si>
  <si>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</si>
  <si>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</si>
  <si>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</si>
  <si>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</si>
  <si>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</si>
  <si>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</si>
  <si>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</si>
  <si>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</si>
  <si>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</si>
  <si>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</si>
  <si>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</si>
  <si>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</si>
  <si>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</si>
  <si>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</si>
  <si>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</si>
  <si>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</si>
  <si>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</si>
  <si>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</si>
  <si>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</si>
  <si>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</si>
  <si>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</si>
  <si>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</si>
  <si>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</si>
  <si>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</si>
  <si>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</si>
  <si>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</si>
  <si>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</si>
  <si>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</si>
  <si>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</si>
  <si>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</si>
  <si>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</si>
  <si>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</si>
  <si>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</si>
  <si>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</si>
  <si>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</si>
  <si>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</si>
  <si>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</si>
  <si>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</si>
  <si>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</si>
  <si>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</si>
  <si>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</si>
  <si>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</si>
  <si>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</si>
  <si>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</si>
  <si>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</si>
  <si>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</si>
  <si>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</si>
  <si>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</si>
  <si>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</si>
  <si>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</si>
  <si>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</si>
  <si>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</si>
  <si>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</si>
  <si>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</si>
  <si>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</si>
  <si>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</si>
  <si>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</si>
  <si>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</si>
  <si>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</si>
  <si>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</si>
  <si>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</si>
  <si>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</si>
  <si>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</si>
  <si>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</si>
  <si>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</si>
  <si>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</si>
  <si>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</si>
  <si>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</si>
  <si>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</si>
  <si>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</si>
  <si>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</si>
  <si>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</si>
  <si>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</si>
  <si>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</si>
  <si>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</si>
  <si>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</si>
  <si>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</si>
  <si>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</si>
  <si>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</si>
  <si>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</si>
  <si>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</si>
  <si>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</si>
  <si>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</si>
  <si>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</si>
  <si>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</si>
  <si>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</si>
  <si>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</si>
  <si>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</si>
  <si>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</si>
  <si>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</si>
  <si>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</si>
  <si>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</si>
  <si>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</si>
  <si>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</si>
  <si>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</si>
  <si>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</si>
  <si>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</si>
  <si>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</si>
  <si>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</si>
  <si>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</si>
  <si>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</si>
  <si>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</si>
  <si>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</si>
  <si>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</si>
  <si>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</si>
  <si>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</si>
  <si>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</si>
  <si>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</si>
  <si>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</si>
  <si>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</si>
  <si>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</si>
  <si>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</si>
  <si>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</si>
  <si>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</si>
  <si>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</si>
  <si>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</si>
  <si>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</si>
  <si>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</si>
  <si>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</si>
  <si>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</si>
  <si>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</si>
  <si>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</si>
  <si>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</si>
  <si>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</si>
  <si>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</si>
  <si>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</si>
  <si>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</si>
  <si>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</si>
  <si>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</si>
  <si>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</si>
  <si>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</si>
  <si>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</si>
  <si>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</si>
  <si>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</si>
  <si>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</si>
  <si>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</si>
  <si>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</si>
  <si>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</si>
  <si>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</si>
  <si>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</si>
  <si>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</si>
  <si>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</si>
  <si>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</si>
  <si>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</si>
  <si>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</si>
  <si>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</si>
  <si>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</si>
  <si>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</si>
  <si>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</si>
  <si>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</si>
  <si>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</si>
  <si>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</si>
  <si>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</si>
  <si>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</si>
  <si>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</si>
  <si>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</si>
  <si>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</si>
  <si>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</si>
  <si>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</si>
  <si>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</si>
  <si>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</si>
  <si>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</si>
  <si>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</si>
  <si>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</si>
  <si>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</si>
  <si>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</si>
  <si>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</si>
  <si>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</si>
  <si>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</si>
  <si>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</si>
  <si>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</si>
  <si>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</si>
  <si>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</si>
  <si>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</si>
  <si>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</si>
  <si>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</si>
  <si>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</si>
  <si>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</si>
  <si>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</si>
  <si>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</si>
  <si>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</si>
  <si>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</si>
  <si>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</si>
  <si>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</si>
  <si>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</si>
  <si>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</si>
  <si>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</si>
  <si>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</si>
  <si>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</si>
  <si>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</si>
  <si>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</si>
  <si>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</si>
  <si>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</si>
  <si>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</si>
  <si>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</si>
  <si>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</si>
  <si>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</si>
  <si>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</si>
  <si>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</si>
  <si>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</si>
  <si>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</si>
  <si>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</si>
  <si>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</si>
  <si>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</si>
  <si>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</si>
  <si>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</si>
  <si>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</si>
  <si>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</si>
  <si>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</si>
  <si>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</si>
  <si>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</si>
  <si>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</si>
  <si>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</si>
  <si>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</si>
  <si>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</si>
  <si>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</si>
  <si>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</si>
  <si>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</si>
  <si>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</si>
  <si>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</si>
  <si>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</si>
  <si>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</si>
  <si>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</si>
  <si>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</si>
  <si>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</si>
  <si>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</si>
  <si>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</si>
  <si>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</si>
  <si>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</si>
  <si>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</si>
  <si>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</si>
  <si>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</si>
  <si>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</si>
  <si>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</si>
  <si>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</si>
  <si>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</si>
  <si>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</si>
  <si>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</si>
  <si>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</si>
  <si>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</si>
  <si>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</si>
  <si>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</si>
  <si>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</si>
  <si>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</si>
  <si>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</si>
  <si>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</si>
  <si>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</si>
  <si>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</si>
  <si>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</si>
  <si>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</si>
  <si>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</si>
  <si>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</si>
  <si>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</si>
  <si>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</si>
  <si>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</si>
  <si>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</si>
  <si>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</si>
  <si>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</si>
  <si>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</si>
  <si>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</si>
  <si>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</si>
  <si>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</si>
  <si>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</si>
  <si>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</si>
  <si>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</si>
  <si>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</si>
  <si>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</si>
  <si>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</si>
  <si>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</si>
  <si>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</si>
  <si>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</si>
  <si>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</si>
  <si>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</si>
  <si>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</si>
  <si>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</si>
  <si>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</si>
  <si>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</si>
  <si>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</si>
  <si>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</si>
  <si>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</si>
  <si>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</si>
  <si>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</si>
  <si>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</si>
  <si>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</si>
  <si>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</si>
  <si>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</si>
  <si>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</si>
  <si>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</si>
  <si>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</si>
  <si>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</si>
  <si>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</si>
  <si>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</si>
  <si>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</si>
  <si>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</si>
  <si>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</si>
  <si>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</si>
  <si>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</si>
  <si>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</si>
  <si>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</si>
  <si>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</si>
  <si>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</si>
  <si>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</si>
  <si>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</si>
  <si>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</si>
  <si>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</si>
  <si>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</si>
  <si>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</si>
  <si>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</si>
  <si>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</si>
  <si>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</si>
  <si>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</si>
  <si>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</si>
  <si>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</si>
  <si>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</si>
  <si>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</si>
  <si>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</si>
  <si>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</si>
  <si>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</si>
  <si>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</si>
  <si>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</si>
  <si>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</si>
  <si>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</si>
  <si>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</si>
  <si>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</si>
  <si>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</si>
  <si>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</si>
  <si>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</si>
  <si>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</si>
  <si>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</si>
  <si>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</si>
  <si>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</si>
  <si>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</si>
  <si>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</si>
  <si>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</si>
  <si>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</si>
  <si>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</si>
  <si>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</si>
  <si>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</si>
  <si>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</si>
  <si>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</si>
  <si>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</si>
  <si>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</si>
  <si>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</si>
  <si>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</si>
  <si>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</si>
  <si>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</si>
  <si>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</si>
  <si>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</si>
  <si>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</si>
  <si>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</si>
  <si>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</si>
  <si>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</si>
  <si>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</si>
  <si>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</si>
  <si>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</si>
  <si>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</si>
  <si>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</si>
  <si>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</si>
  <si>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</si>
  <si>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</si>
  <si>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</si>
  <si>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</si>
  <si>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</si>
  <si>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</si>
  <si>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</si>
  <si>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</si>
  <si>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</si>
  <si>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</si>
  <si>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</si>
  <si>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</si>
  <si>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</si>
  <si>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</si>
  <si>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</si>
  <si>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</si>
  <si>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</si>
  <si>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</si>
  <si>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</si>
  <si>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</si>
  <si>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</si>
  <si>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</si>
  <si>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</si>
  <si>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</si>
  <si>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</si>
  <si>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</si>
  <si>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</si>
  <si>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</si>
  <si>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</si>
  <si>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</si>
  <si>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</si>
  <si>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</si>
  <si>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</si>
  <si>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</si>
  <si>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</si>
  <si>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</si>
  <si>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</si>
  <si>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</si>
  <si>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</si>
  <si>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</si>
  <si>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</si>
  <si>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</si>
  <si>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</si>
  <si>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</si>
  <si>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</si>
  <si>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</si>
  <si>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</si>
  <si>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</si>
  <si>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</si>
  <si>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</si>
  <si>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</si>
  <si>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</si>
  <si>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</si>
  <si>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</si>
  <si>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</si>
  <si>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</si>
  <si>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</si>
  <si>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</si>
  <si>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</si>
  <si>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</si>
  <si>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</si>
  <si>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</si>
  <si>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</si>
  <si>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</si>
  <si>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</si>
  <si>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</si>
  <si>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</si>
  <si>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</si>
  <si>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</si>
  <si>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</si>
  <si>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</si>
  <si>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</si>
  <si>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</si>
  <si>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</si>
  <si>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</si>
  <si>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</si>
  <si>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</si>
  <si>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</si>
  <si>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</si>
  <si>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</si>
  <si>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</si>
  <si>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</si>
  <si>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</si>
  <si>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</si>
  <si>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</si>
  <si>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</si>
  <si>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</si>
  <si>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</si>
  <si>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</si>
  <si>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</si>
  <si>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</si>
  <si>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</si>
  <si>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</si>
  <si>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</si>
  <si>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</si>
  <si>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</si>
  <si>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</si>
  <si>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</si>
  <si>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</si>
  <si>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</si>
  <si>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</si>
  <si>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</si>
  <si>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</si>
  <si>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</si>
  <si>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</si>
  <si>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</si>
  <si>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</si>
  <si>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</si>
  <si>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</si>
  <si>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</si>
  <si>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</si>
  <si>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</si>
  <si>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</si>
  <si>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</si>
  <si>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</si>
  <si>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</si>
  <si>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</si>
  <si>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</si>
  <si>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</si>
  <si>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</si>
  <si>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</si>
  <si>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</si>
  <si>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</si>
  <si>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</si>
  <si>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</si>
  <si>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</si>
  <si>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</si>
  <si>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</si>
  <si>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</si>
  <si>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</si>
  <si>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</si>
  <si>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</si>
  <si>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</si>
  <si>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</si>
  <si>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</si>
  <si>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</si>
  <si>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</si>
  <si>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</si>
  <si>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</si>
  <si>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</si>
  <si>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</si>
  <si>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</si>
  <si>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</si>
  <si>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</si>
  <si>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</si>
  <si>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</si>
  <si>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</si>
  <si>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</si>
  <si>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</si>
  <si>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</si>
  <si>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</si>
  <si>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</si>
  <si>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</si>
  <si>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</si>
  <si>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</si>
  <si>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</si>
  <si>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</si>
  <si>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</si>
  <si>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</si>
  <si>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</si>
  <si>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</si>
  <si>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</si>
  <si>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</si>
  <si>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</si>
  <si>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</si>
  <si>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</si>
  <si>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</si>
  <si>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</si>
  <si>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</si>
  <si>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</si>
  <si>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</si>
  <si>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</si>
  <si>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</si>
  <si>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</si>
  <si>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</si>
  <si>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</si>
  <si>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</si>
  <si>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</si>
  <si>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</si>
  <si>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</si>
  <si>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</si>
  <si>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</si>
  <si>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</si>
  <si>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</si>
  <si>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</si>
  <si>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</si>
  <si>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</si>
  <si>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</si>
  <si>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</si>
  <si>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</si>
  <si>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</si>
  <si>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</si>
  <si>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</si>
  <si>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</si>
  <si>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</si>
  <si>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</si>
  <si>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</si>
  <si>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</si>
  <si>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</si>
  <si>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</si>
  <si>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</si>
  <si>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</si>
  <si>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</si>
  <si>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</si>
  <si>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</si>
  <si>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</si>
  <si>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</si>
  <si>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</si>
  <si>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</si>
  <si>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</si>
  <si>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</si>
  <si>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</si>
  <si>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</si>
  <si>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</si>
  <si>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</si>
  <si>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</si>
  <si>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</si>
  <si>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</si>
  <si>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</si>
  <si>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</si>
  <si>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</si>
  <si>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</si>
  <si>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</si>
  <si>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</si>
  <si>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</si>
  <si>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</si>
  <si>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</si>
  <si>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</si>
  <si>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</si>
  <si>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</si>
  <si>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</si>
  <si>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</si>
  <si>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</si>
  <si>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</si>
  <si>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</si>
  <si>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</si>
  <si>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</si>
  <si>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</si>
  <si>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</si>
  <si>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</si>
  <si>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</si>
  <si>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</si>
  <si>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</si>
  <si>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</si>
  <si>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</si>
  <si>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</si>
  <si>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</si>
  <si>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</si>
  <si>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</si>
  <si>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</si>
  <si>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</si>
  <si>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</si>
  <si>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</si>
  <si>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</si>
  <si>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</si>
  <si>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</si>
  <si>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</si>
  <si>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</si>
  <si>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</si>
  <si>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</si>
  <si>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</si>
  <si>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</si>
  <si>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</si>
  <si>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</si>
  <si>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</si>
  <si>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</si>
  <si>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</si>
  <si>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</si>
  <si>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</si>
  <si>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</si>
  <si>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</si>
  <si>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</si>
  <si>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</si>
  <si>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</si>
  <si>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</si>
  <si>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</si>
  <si>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</si>
  <si>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</si>
  <si>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</si>
  <si>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</si>
  <si>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</si>
  <si>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</si>
  <si>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</si>
  <si>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</si>
  <si>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</si>
  <si>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</si>
  <si>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</si>
  <si>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</si>
  <si>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</si>
  <si>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</si>
  <si>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</si>
  <si>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</si>
  <si>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</si>
  <si>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</si>
  <si>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</si>
  <si>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</si>
  <si>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</si>
  <si>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</si>
  <si>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</si>
  <si>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</si>
  <si>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</si>
  <si>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</si>
  <si>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</si>
  <si>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</si>
  <si>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</si>
  <si>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</si>
  <si>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</si>
  <si>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</si>
  <si>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</si>
  <si>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</si>
  <si>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</si>
  <si>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</si>
  <si>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</si>
  <si>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</si>
  <si>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</si>
  <si>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</si>
  <si>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</si>
  <si>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</si>
  <si>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</si>
  <si>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</si>
  <si>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</si>
  <si>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</si>
  <si>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</si>
  <si>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</si>
  <si>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</si>
  <si>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</si>
  <si>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</si>
  <si>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</si>
  <si>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</si>
  <si>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</si>
  <si>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</si>
  <si>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</si>
  <si>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</si>
  <si>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</si>
  <si>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</si>
  <si>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</si>
  <si>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</si>
  <si>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</si>
  <si>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</si>
  <si>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</si>
  <si>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</si>
  <si>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</si>
  <si>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</si>
  <si>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</si>
  <si>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</si>
  <si>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</si>
  <si>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</si>
  <si>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</si>
  <si>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</si>
  <si>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</si>
  <si>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</si>
  <si>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</si>
  <si>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</si>
  <si>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</si>
  <si>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</si>
  <si>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</si>
  <si>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</si>
  <si>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</si>
  <si>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</si>
  <si>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</si>
  <si>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</si>
  <si>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</si>
  <si>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</si>
  <si>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</si>
  <si>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</si>
  <si>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</si>
  <si>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</si>
  <si>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</si>
  <si>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</si>
  <si>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</si>
  <si>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</si>
  <si>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</si>
  <si>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</si>
  <si>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</si>
  <si>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</si>
  <si>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</si>
  <si>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</si>
  <si>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</si>
  <si>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</si>
  <si>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</si>
  <si>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</si>
  <si>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</si>
  <si>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</si>
  <si>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</si>
  <si>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</si>
  <si>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</si>
  <si>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</si>
  <si>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</si>
  <si>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</si>
  <si>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</si>
  <si>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</si>
  <si>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</si>
  <si>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</si>
  <si>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</si>
  <si>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</si>
  <si>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</si>
  <si>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</si>
  <si>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</si>
  <si>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</si>
  <si>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</si>
  <si>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</si>
  <si>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</si>
  <si>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</si>
  <si>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</si>
  <si>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</si>
  <si>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</si>
  <si>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</si>
  <si>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</si>
  <si>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</si>
  <si>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</si>
  <si>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</si>
  <si>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</si>
  <si>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</si>
  <si>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</si>
  <si>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</si>
  <si>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</si>
  <si>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</si>
  <si>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</si>
  <si>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</si>
  <si>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</si>
  <si>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</si>
  <si>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</si>
  <si>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</si>
  <si>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</si>
  <si>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</si>
  <si>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</si>
  <si>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</si>
  <si>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</si>
  <si>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</si>
  <si>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</si>
  <si>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</si>
  <si>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</si>
  <si>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</si>
  <si>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</si>
  <si>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</si>
  <si>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</si>
  <si>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</si>
  <si>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</si>
  <si>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</si>
  <si>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</si>
  <si>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</si>
  <si>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</si>
  <si>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</si>
  <si>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</si>
  <si>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</si>
  <si>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</si>
  <si>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</si>
  <si>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</si>
  <si>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</si>
  <si>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</si>
  <si>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</si>
  <si>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</si>
  <si>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</si>
  <si>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</si>
  <si>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</si>
  <si>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</si>
  <si>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</si>
  <si>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</si>
  <si>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</si>
  <si>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</si>
  <si>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</si>
  <si>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</si>
  <si>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</si>
  <si>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</si>
  <si>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</si>
  <si>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</si>
  <si>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</si>
  <si>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</si>
  <si>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</si>
  <si>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</si>
  <si>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</si>
  <si>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</si>
  <si>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</si>
  <si>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</si>
  <si>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</si>
  <si>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</si>
  <si>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</si>
  <si>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</si>
  <si>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</si>
  <si>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</si>
  <si>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</si>
  <si>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</si>
  <si>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</si>
  <si>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</si>
  <si>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</si>
  <si>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</si>
  <si>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</si>
  <si>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</si>
  <si>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</si>
  <si>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</si>
  <si>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</si>
  <si>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</si>
  <si>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</si>
  <si>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</si>
  <si>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</si>
  <si>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</si>
  <si>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</si>
  <si>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</si>
  <si>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</si>
  <si>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</si>
  <si>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</si>
  <si>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</si>
  <si>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</si>
  <si>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</si>
  <si>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</si>
  <si>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</si>
  <si>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</si>
  <si>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</si>
  <si>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</si>
  <si>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</si>
  <si>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</si>
  <si>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</si>
  <si>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</si>
  <si>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</si>
  <si>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</si>
  <si>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</si>
  <si>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</si>
  <si>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</si>
  <si>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</si>
  <si>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</si>
  <si>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</si>
  <si>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</si>
  <si>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Row Labels</t>
  </si>
  <si>
    <t>Grand Total</t>
  </si>
  <si>
    <t>Sum of Sales</t>
  </si>
  <si>
    <t>SALES BY CUSTOMER</t>
  </si>
  <si>
    <t>PROFIT  BY REGION AND YEAR</t>
  </si>
  <si>
    <t>Sum of Profit</t>
  </si>
  <si>
    <t>2014</t>
  </si>
  <si>
    <t>2015</t>
  </si>
  <si>
    <t>2016</t>
  </si>
  <si>
    <t>2017</t>
  </si>
  <si>
    <t>Count of Region</t>
  </si>
  <si>
    <t>SALES AND PROFIT FOR EACH CATEGORY</t>
  </si>
  <si>
    <t>SALES BY CUSTOMER SEGMENT</t>
  </si>
  <si>
    <t>Qtr1</t>
  </si>
  <si>
    <t>Qtr2</t>
  </si>
  <si>
    <t>Qtr3</t>
  </si>
  <si>
    <t>Qtr4</t>
  </si>
  <si>
    <t>QUARTERLY SALES TREND</t>
  </si>
  <si>
    <t>SALES GROWTH %</t>
  </si>
  <si>
    <t>SALES BY REGION</t>
  </si>
  <si>
    <t>DISCOUNT IMPACT IN SALES</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</si>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</sst>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 #,##0.00;&quot;₹&quot;\ \-#,##0.00"/>
    <numFmt numFmtId="164" formatCode="d/m/yyyy"/>
    <numFmt numFmtId="166" formatCode="&quot;₹&quot;\ #,##0.00"/>
  </numFmts>
  <fonts count="5">
    <font>
      <sz val="11"/>
      <color theme="1"/>
      <name val="Aptos Narrow"/>
      <family val="2"/>
      <scheme val="minor"/>
    </font>
    <font>
      <b/>
      <sz val="12"/>
      <color rgb="FF000000"/>
      <name val="Calibri"/>
      <charset val="134"/>
    </font>
    <font>
      <sz val="12"/>
      <color theme="1"/>
      <name val="Calibri"/>
      <charset val="134"/>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0" fillId="3" borderId="1" xfId="0" applyFill="1" applyBorder="1" applyAlignment="1">
      <alignment horizontal="center"/>
    </xf>
    <xf numFmtId="164" fontId="2" fillId="3" borderId="1" xfId="0" applyNumberFormat="1" applyFont="1" applyFill="1" applyBorder="1" applyAlignment="1">
      <alignment horizontal="center"/>
    </xf>
    <xf numFmtId="0" fontId="0" fillId="0" borderId="1" xfId="0" applyBorder="1" applyAlignment="1">
      <alignment horizontal="center"/>
    </xf>
    <xf numFmtId="164" fontId="2" fillId="0" borderId="1" xfId="0" applyNumberFormat="1" applyFont="1" applyBorder="1" applyAlignment="1">
      <alignment horizontal="center"/>
    </xf>
    <xf numFmtId="0" fontId="1" fillId="2" borderId="2" xfId="0" applyFont="1" applyFill="1" applyBorder="1" applyAlignment="1">
      <alignment horizontal="center"/>
    </xf>
    <xf numFmtId="0" fontId="0" fillId="3" borderId="3" xfId="0" applyFill="1" applyBorder="1" applyAlignment="1">
      <alignment horizontal="center"/>
    </xf>
    <xf numFmtId="164" fontId="2" fillId="3" borderId="3" xfId="0" applyNumberFormat="1" applyFont="1" applyFill="1" applyBorder="1" applyAlignment="1">
      <alignment horizontal="center"/>
    </xf>
    <xf numFmtId="0" fontId="0" fillId="0" borderId="0" xfId="0" pivotButton="1"/>
    <xf numFmtId="0" fontId="0" fillId="0" borderId="0" xfId="0" applyAlignment="1">
      <alignment horizontal="left"/>
    </xf>
    <xf numFmtId="9" fontId="0" fillId="0" borderId="0" xfId="0" applyNumberFormat="1"/>
    <xf numFmtId="9" fontId="0" fillId="0" borderId="0" xfId="0" applyNumberFormat="1" applyAlignment="1">
      <alignment horizontal="left"/>
    </xf>
    <xf numFmtId="0" fontId="4" fillId="3" borderId="2" xfId="0" applyFont="1" applyFill="1" applyBorder="1"/>
    <xf numFmtId="2" fontId="0" fillId="0" borderId="0" xfId="0" applyNumberFormat="1"/>
    <xf numFmtId="0" fontId="4" fillId="0" borderId="2" xfId="0" applyFont="1" applyBorder="1" applyAlignment="1">
      <alignment horizontal="left"/>
    </xf>
    <xf numFmtId="0" fontId="4" fillId="3" borderId="3" xfId="0" applyFont="1" applyFill="1" applyBorder="1" applyAlignment="1">
      <alignment horizontal="left"/>
    </xf>
    <xf numFmtId="9" fontId="4" fillId="0" borderId="2" xfId="1" applyFont="1" applyBorder="1"/>
    <xf numFmtId="9" fontId="4" fillId="3" borderId="3" xfId="1" applyFont="1" applyFill="1" applyBorder="1"/>
    <xf numFmtId="7" fontId="0" fillId="0" borderId="0" xfId="0" applyNumberFormat="1"/>
    <xf numFmtId="0" fontId="0" fillId="0" borderId="0" xfId="0" applyNumberFormat="1"/>
    <xf numFmtId="166" fontId="0" fillId="0" borderId="0" xfId="0" applyNumberFormat="1"/>
  </cellXfs>
  <cellStyles count="2">
    <cellStyle name="Normal" xfId="0" builtinId="0"/>
    <cellStyle name="Percent" xfId="1" builtinId="5"/>
  </cellStyles>
  <dxfs count="593">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3" formatCode="0%"/>
    </dxf>
    <dxf>
      <numFmt numFmtId="13" formatCode="0%"/>
    </dxf>
    <dxf>
      <numFmt numFmtId="0" formatCode="General"/>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3" formatCode="0%"/>
    </dxf>
    <dxf>
      <numFmt numFmtId="166" formatCode="&quot;₹&quot;\ #,##0.00"/>
    </dxf>
    <dxf>
      <numFmt numFmtId="166" formatCode="&quot;₹&quot;\ #,##0.00"/>
    </dxf>
    <dxf>
      <numFmt numFmtId="13" formatCode="0%"/>
    </dxf>
    <dxf>
      <numFmt numFmtId="13" formatCode="0%"/>
    </dxf>
    <dxf>
      <numFmt numFmtId="0" formatCode="General"/>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charset val="134"/>
        <scheme val="none"/>
      </font>
      <numFmt numFmtId="164" formatCode="d/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charset val="134"/>
        <scheme val="none"/>
      </font>
      <numFmt numFmtId="164" formatCode="d/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ill>
        <patternFill patternType="solid">
          <fgColor theme="4" tint="0.79998168889431442"/>
          <bgColor theme="4" tint="0.79998168889431442"/>
        </patternFill>
      </fill>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rgb="FF000000"/>
        <name val="Calibri"/>
        <charset val="134"/>
        <scheme val="none"/>
      </font>
      <fill>
        <patternFill patternType="solid">
          <fgColor theme="4"/>
          <bgColor theme="4"/>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border diagonalUp="0" diagonalDown="0">
        <left/>
        <right/>
        <top/>
        <bottom style="thin">
          <color theme="4" tint="0.39997558519241921"/>
        </bottom>
        <vertical/>
        <horizontal/>
      </border>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right/>
        <top/>
        <bottom style="thin">
          <color theme="4" tint="0.39997558519241921"/>
        </bottom>
        <vertical/>
        <horizontal/>
      </border>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2" formatCode="0.00"/>
    </dxf>
    <dxf>
      <numFmt numFmtId="0" formatCode="General"/>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[Praveen_day5_set2.xlsx]PIVOT!PivotTable11</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400" b="1" i="0" u="sng" strike="noStrike" kern="1200" spc="0" baseline="0">
                <a:solidFill>
                  <a:schemeClr val="tx1"/>
                </a:solidFill>
              </a:rPr>
              <a:t>Top 10 Customer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PIVOT!$B$80</c:f>
              <c:strCache>
                <c:ptCount val="1"/>
                <c:pt idx="0">
                  <c:v>Total</c:v>
                </c:pt>
              </c:strCache>
            </c:strRef>
          </c:tx>
          <c:spPr>
            <a:solidFill>
              <a:schemeClr val="accent6"/>
            </a:solidFill>
            <a:ln>
              <a:noFill/>
            </a:ln>
            <a:effectLst/>
          </c:spPr>
          <c:invertIfNegative val="0"/>
          <c:cat>
            <c:strRef>
              <c:f>PIVOT!$A$81:$A$91</c:f>
              <c:strCache>
                <c:ptCount val="10"/>
                <c:pt idx="0">
                  <c:v>AB-10060</c:v>
                </c:pt>
                <c:pt idx="1">
                  <c:v>AD-10180</c:v>
                </c:pt>
                <c:pt idx="2">
                  <c:v>BH-11710</c:v>
                </c:pt>
                <c:pt idx="3">
                  <c:v>BM-11140</c:v>
                </c:pt>
                <c:pt idx="4">
                  <c:v>CM-12385</c:v>
                </c:pt>
                <c:pt idx="5">
                  <c:v>DW-13480</c:v>
                </c:pt>
                <c:pt idx="6">
                  <c:v>KH-16510</c:v>
                </c:pt>
                <c:pt idx="7">
                  <c:v>NM-18445</c:v>
                </c:pt>
                <c:pt idx="8">
                  <c:v>SB-20290</c:v>
                </c:pt>
                <c:pt idx="9">
                  <c:v>TB-21520</c:v>
                </c:pt>
              </c:strCache>
            </c:strRef>
          </c:cat>
          <c:val>
            <c:numRef>
              <c:f>PIVOT!$B$81:$B$91</c:f>
              <c:numCache>
                <c:formatCode>General</c:formatCode>
                <c:ptCount val="10"/>
                <c:pt idx="0">
                  <c:v>4438.6859999999997</c:v>
                </c:pt>
                <c:pt idx="1">
                  <c:v>4789.9380000000001</c:v>
                </c:pt>
                <c:pt idx="2">
                  <c:v>3714.3040000000001</c:v>
                </c:pt>
                <c:pt idx="3">
                  <c:v>10539.896000000001</c:v>
                </c:pt>
                <c:pt idx="4">
                  <c:v>6412.7699999999995</c:v>
                </c:pt>
                <c:pt idx="5">
                  <c:v>3745.63</c:v>
                </c:pt>
                <c:pt idx="6">
                  <c:v>3955.5070000000005</c:v>
                </c:pt>
                <c:pt idx="7">
                  <c:v>4807.3719999999994</c:v>
                </c:pt>
                <c:pt idx="8">
                  <c:v>5579.9400000000005</c:v>
                </c:pt>
                <c:pt idx="9">
                  <c:v>3761.1480000000006</c:v>
                </c:pt>
              </c:numCache>
            </c:numRef>
          </c:val>
          <c:extLst>
            <c:ext xmlns:c16="http://schemas.microsoft.com/office/drawing/2014/chart" uri="{C3380CC4-5D6E-409C-BE32-E72D297353CC}">
              <c16:uniqueId val="{00000000-D072-4E6F-82F0-213DCFA801E2}"/>
            </c:ext>
          </c:extLst>
        </c:ser>
        <c:dLbls>
          <c:showLegendKey val="0"/>
          <c:showVal val="0"/>
          <c:showCatName val="0"/>
          <c:showSerName val="0"/>
          <c:showPercent val="0"/>
          <c:showBubbleSize val="0"/>
        </c:dLbls>
        <c:gapWidth val="219"/>
        <c:overlap val="-27"/>
        <c:axId val="436792687"/>
        <c:axId val="1798619856"/>
      </c:barChart>
      <c:catAx>
        <c:axId val="4367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1798619856"/>
        <c:crosses val="autoZero"/>
        <c:auto val="1"/>
        <c:lblAlgn val="ctr"/>
        <c:lblOffset val="100"/>
        <c:noMultiLvlLbl val="0"/>
      </c:catAx>
      <c:valAx>
        <c:axId val="1798619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43679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[Praveen_day5_set2.xlsx]PIVOT!PivotTable3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sng" strike="noStrike" kern="1200" spc="0" baseline="0">
                <a:solidFill>
                  <a:schemeClr val="tx1"/>
                </a:solidFill>
              </a:rPr>
              <a:t>Profit by Region</a:t>
            </a:r>
          </a:p>
        </c:rich>
      </c:tx>
      <c:layout>
        <c:manualLayout>
          <c:xMode val="edge"/>
          <c:yMode val="edge"/>
          <c:x val="0.31615053917792174"/>
          <c:y val="4.4827590264059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9318597480174"/>
          <c:y val="0.15521012473839438"/>
          <c:w val="0.82570811778811504"/>
          <c:h val="0.79487570326184664"/>
        </c:manualLayout>
      </c:layout>
      <c:lineChart>
        <c:grouping val="standard"/>
        <c:varyColors val="0"/>
        <c:ser>
          <c:idx val="0"/>
          <c:order val="0"/>
          <c:tx>
            <c:strRef>
              <c:f>PIVOT!$B$20</c:f>
              <c:strCache>
                <c:ptCount val="1"/>
                <c:pt idx="0">
                  <c:v>Sum of Sales</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PIVOT!$A$21:$A$24</c:f>
              <c:strCache>
                <c:ptCount val="3"/>
                <c:pt idx="0">
                  <c:v>Furniture</c:v>
                </c:pt>
                <c:pt idx="1">
                  <c:v>Office Supplies</c:v>
                </c:pt>
                <c:pt idx="2">
                  <c:v>Technology</c:v>
                </c:pt>
              </c:strCache>
            </c:strRef>
          </c:cat>
          <c:val>
            <c:numRef>
              <c:f>PIVOT!$B$21:$B$24</c:f>
              <c:numCache>
                <c:formatCode>"₹"\ #,##0.00</c:formatCode>
                <c:ptCount val="3"/>
                <c:pt idx="0">
                  <c:v>51825.958099999996</c:v>
                </c:pt>
                <c:pt idx="1">
                  <c:v>44263.052999999956</c:v>
                </c:pt>
                <c:pt idx="2">
                  <c:v>61404.563000000009</c:v>
                </c:pt>
              </c:numCache>
            </c:numRef>
          </c:val>
          <c:smooth val="0"/>
          <c:extLst>
            <c:ext xmlns:c16="http://schemas.microsoft.com/office/drawing/2014/chart" uri="{C3380CC4-5D6E-409C-BE32-E72D297353CC}">
              <c16:uniqueId val="{00000000-CEAF-4935-AEC7-1CDFE24741A6}"/>
            </c:ext>
          </c:extLst>
        </c:ser>
        <c:ser>
          <c:idx val="1"/>
          <c:order val="1"/>
          <c:tx>
            <c:strRef>
              <c:f>PIVOT!$C$20</c:f>
              <c:strCache>
                <c:ptCount val="1"/>
                <c:pt idx="0">
                  <c:v>Sum of Profit</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PIVOT!$A$21:$A$24</c:f>
              <c:strCache>
                <c:ptCount val="3"/>
                <c:pt idx="0">
                  <c:v>Furniture</c:v>
                </c:pt>
                <c:pt idx="1">
                  <c:v>Office Supplies</c:v>
                </c:pt>
                <c:pt idx="2">
                  <c:v>Technology</c:v>
                </c:pt>
              </c:strCache>
            </c:strRef>
          </c:cat>
          <c:val>
            <c:numRef>
              <c:f>PIVOT!$C$21:$C$24</c:f>
              <c:numCache>
                <c:formatCode>"₹"\ #,##0.00</c:formatCode>
                <c:ptCount val="3"/>
                <c:pt idx="0">
                  <c:v>-3052.5364000000004</c:v>
                </c:pt>
                <c:pt idx="1">
                  <c:v>7982.8190999999961</c:v>
                </c:pt>
                <c:pt idx="2">
                  <c:v>6706.1476999999959</c:v>
                </c:pt>
              </c:numCache>
            </c:numRef>
          </c:val>
          <c:smooth val="0"/>
          <c:extLst>
            <c:ext xmlns:c16="http://schemas.microsoft.com/office/drawing/2014/chart" uri="{C3380CC4-5D6E-409C-BE32-E72D297353CC}">
              <c16:uniqueId val="{00000001-CEAF-4935-AEC7-1CDFE24741A6}"/>
            </c:ext>
          </c:extLst>
        </c:ser>
        <c:dLbls>
          <c:showLegendKey val="0"/>
          <c:showVal val="0"/>
          <c:showCatName val="0"/>
          <c:showSerName val="0"/>
          <c:showPercent val="0"/>
          <c:showBubbleSize val="0"/>
        </c:dLbls>
        <c:marker val="1"/>
        <c:smooth val="0"/>
        <c:axId val="436810783"/>
        <c:axId val="1798585776"/>
      </c:lineChart>
      <c:catAx>
        <c:axId val="43681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1798585776"/>
        <c:crosses val="autoZero"/>
        <c:auto val="1"/>
        <c:lblAlgn val="ctr"/>
        <c:lblOffset val="100"/>
        <c:noMultiLvlLbl val="0"/>
      </c:catAx>
      <c:valAx>
        <c:axId val="179858577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crossAx val="43681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[Praveen_day5_set2.xlsx]PIVOT!PivotTable2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u="sng">
                <a:solidFill>
                  <a:schemeClr val="tx1">
                    <a:lumMod val="95000"/>
                    <a:lumOff val="5000"/>
                  </a:schemeClr>
                </a:solidFill>
              </a:rPr>
              <a:t>Profit by Margin</a:t>
            </a:r>
            <a:endParaRPr lang="en-IN" b="1" u="sng">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Sum of Profit</c:v>
                </c:pt>
              </c:strCache>
            </c:strRef>
          </c:tx>
          <c:spPr>
            <a:solidFill>
              <a:schemeClr val="accent6">
                <a:shade val="76000"/>
              </a:schemeClr>
            </a:solidFill>
            <a:ln>
              <a:noFill/>
            </a:ln>
            <a:effectLst/>
          </c:spPr>
          <c:invertIfNegative val="0"/>
          <c:cat>
            <c:strRef>
              <c:f>PIVOT!$A$12:$A$16</c:f>
              <c:strCache>
                <c:ptCount val="4"/>
                <c:pt idx="0">
                  <c:v>2014</c:v>
                </c:pt>
                <c:pt idx="1">
                  <c:v>2015</c:v>
                </c:pt>
                <c:pt idx="2">
                  <c:v>2016</c:v>
                </c:pt>
                <c:pt idx="3">
                  <c:v>2017</c:v>
                </c:pt>
              </c:strCache>
            </c:strRef>
          </c:cat>
          <c:val>
            <c:numRef>
              <c:f>PIVOT!$B$12:$B$16</c:f>
              <c:numCache>
                <c:formatCode>0.00</c:formatCode>
                <c:ptCount val="4"/>
                <c:pt idx="0">
                  <c:v>3208.8492999999985</c:v>
                </c:pt>
                <c:pt idx="1">
                  <c:v>1212.3992999999996</c:v>
                </c:pt>
                <c:pt idx="2">
                  <c:v>4003.8497999999977</c:v>
                </c:pt>
                <c:pt idx="3">
                  <c:v>3211.3320000000012</c:v>
                </c:pt>
              </c:numCache>
            </c:numRef>
          </c:val>
          <c:extLst>
            <c:ext xmlns:c16="http://schemas.microsoft.com/office/drawing/2014/chart" uri="{C3380CC4-5D6E-409C-BE32-E72D297353CC}">
              <c16:uniqueId val="{00000000-D731-4BEF-974E-1D0AE7ECE15F}"/>
            </c:ext>
          </c:extLst>
        </c:ser>
        <c:ser>
          <c:idx val="1"/>
          <c:order val="1"/>
          <c:tx>
            <c:strRef>
              <c:f>PIVOT!$C$11</c:f>
              <c:strCache>
                <c:ptCount val="1"/>
                <c:pt idx="0">
                  <c:v>Count of Region</c:v>
                </c:pt>
              </c:strCache>
            </c:strRef>
          </c:tx>
          <c:spPr>
            <a:solidFill>
              <a:schemeClr val="accent6">
                <a:tint val="77000"/>
              </a:schemeClr>
            </a:solidFill>
            <a:ln>
              <a:noFill/>
            </a:ln>
            <a:effectLst/>
          </c:spPr>
          <c:invertIfNegative val="0"/>
          <c:cat>
            <c:strRef>
              <c:f>PIVOT!$A$12:$A$16</c:f>
              <c:strCache>
                <c:ptCount val="4"/>
                <c:pt idx="0">
                  <c:v>2014</c:v>
                </c:pt>
                <c:pt idx="1">
                  <c:v>2015</c:v>
                </c:pt>
                <c:pt idx="2">
                  <c:v>2016</c:v>
                </c:pt>
                <c:pt idx="3">
                  <c:v>2017</c:v>
                </c:pt>
              </c:strCache>
            </c:strRef>
          </c:cat>
          <c:val>
            <c:numRef>
              <c:f>PIVOT!$C$12:$C$16</c:f>
              <c:numCache>
                <c:formatCode>General</c:formatCode>
                <c:ptCount val="4"/>
                <c:pt idx="0">
                  <c:v>132</c:v>
                </c:pt>
                <c:pt idx="1">
                  <c:v>132</c:v>
                </c:pt>
                <c:pt idx="2">
                  <c:v>196</c:v>
                </c:pt>
                <c:pt idx="3">
                  <c:v>151</c:v>
                </c:pt>
              </c:numCache>
            </c:numRef>
          </c:val>
          <c:extLst>
            <c:ext xmlns:c16="http://schemas.microsoft.com/office/drawing/2014/chart" uri="{C3380CC4-5D6E-409C-BE32-E72D297353CC}">
              <c16:uniqueId val="{00000001-D731-4BEF-974E-1D0AE7ECE15F}"/>
            </c:ext>
          </c:extLst>
        </c:ser>
        <c:dLbls>
          <c:showLegendKey val="0"/>
          <c:showVal val="0"/>
          <c:showCatName val="0"/>
          <c:showSerName val="0"/>
          <c:showPercent val="0"/>
          <c:showBubbleSize val="0"/>
        </c:dLbls>
        <c:gapWidth val="219"/>
        <c:overlap val="-27"/>
        <c:axId val="1602145312"/>
        <c:axId val="1798638576"/>
      </c:barChart>
      <c:catAx>
        <c:axId val="160214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1798638576"/>
        <c:crosses val="autoZero"/>
        <c:auto val="1"/>
        <c:lblAlgn val="ctr"/>
        <c:lblOffset val="100"/>
        <c:noMultiLvlLbl val="0"/>
      </c:catAx>
      <c:valAx>
        <c:axId val="1798638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160214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2.xml"/><Relationship Id="rId7"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173182</xdr:colOff>
      <xdr:row>0</xdr:row>
      <xdr:rowOff>0</xdr:rowOff>
    </xdr:from>
    <xdr:to>
      <xdr:col>31</xdr:col>
      <xdr:colOff>502228</xdr:colOff>
      <xdr:row>74</xdr:row>
      <xdr:rowOff>86590</xdr:rowOff>
    </xdr:to>
    <xdr:pic>
      <xdr:nvPicPr>
        <xdr:cNvPr id="16" name="Picture 15">
          <a:extLst>
            <a:ext uri="{FF2B5EF4-FFF2-40B4-BE49-F238E27FC236}">
              <a16:creationId xmlns:a16="http://schemas.microsoft.com/office/drawing/2014/main" id="{3640418A-9EBB-852E-2BFB-02E4088819A9}"/>
            </a:ext>
          </a:extLst>
        </xdr:cNvPr>
        <xdr:cNvPicPr>
          <a:picLocks noChangeAspect="1"/>
        </xdr:cNvPicPr>
      </xdr:nvPicPr>
      <xdr:blipFill>
        <a:blip xmlns:r="http://schemas.openxmlformats.org/officeDocument/2006/relationships" r:embed="rId1">
          <a:alphaModFix amt="80000"/>
          <a:extLst>
            <a:ext uri="{28A0092B-C50C-407E-A947-70E740481C1C}">
              <a14:useLocalDpi xmlns:a14="http://schemas.microsoft.com/office/drawing/2010/main" val="0"/>
            </a:ext>
          </a:extLst>
        </a:blip>
        <a:srcRect/>
        <a:stretch/>
      </xdr:blipFill>
      <xdr:spPr>
        <a:xfrm>
          <a:off x="173182" y="0"/>
          <a:ext cx="19119273" cy="14183590"/>
        </a:xfrm>
        <a:prstGeom prst="rect">
          <a:avLst/>
        </a:prstGeom>
      </xdr:spPr>
    </xdr:pic>
    <xdr:clientData/>
  </xdr:twoCellAnchor>
  <xdr:twoCellAnchor>
    <xdr:from>
      <xdr:col>2</xdr:col>
      <xdr:colOff>225136</xdr:colOff>
      <xdr:row>0</xdr:row>
      <xdr:rowOff>1</xdr:rowOff>
    </xdr:from>
    <xdr:to>
      <xdr:col>28</xdr:col>
      <xdr:colOff>554182</xdr:colOff>
      <xdr:row>70</xdr:row>
      <xdr:rowOff>1</xdr:rowOff>
    </xdr:to>
    <xdr:sp macro="" textlink="">
      <xdr:nvSpPr>
        <xdr:cNvPr id="30" name="Flowchart: Process 29">
          <a:extLst>
            <a:ext uri="{FF2B5EF4-FFF2-40B4-BE49-F238E27FC236}">
              <a16:creationId xmlns:a16="http://schemas.microsoft.com/office/drawing/2014/main" id="{686387C0-40A5-19C4-316C-08B9905642DD}"/>
            </a:ext>
          </a:extLst>
        </xdr:cNvPr>
        <xdr:cNvSpPr/>
      </xdr:nvSpPr>
      <xdr:spPr>
        <a:xfrm>
          <a:off x="1437409" y="1"/>
          <a:ext cx="16088591" cy="13335000"/>
        </a:xfrm>
        <a:prstGeom prst="flowChartProcess">
          <a:avLst/>
        </a:prstGeom>
        <a:solidFill>
          <a:schemeClr val="lt1">
            <a:alpha val="89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115900</xdr:colOff>
      <xdr:row>42</xdr:row>
      <xdr:rowOff>18652</xdr:rowOff>
    </xdr:from>
    <xdr:to>
      <xdr:col>28</xdr:col>
      <xdr:colOff>101247</xdr:colOff>
      <xdr:row>66</xdr:row>
      <xdr:rowOff>150536</xdr:rowOff>
    </xdr:to>
    <xdr:graphicFrame macro="">
      <xdr:nvGraphicFramePr>
        <xdr:cNvPr id="2" name="Chart 7">
          <a:extLst>
            <a:ext uri="{FF2B5EF4-FFF2-40B4-BE49-F238E27FC236}">
              <a16:creationId xmlns:a16="http://schemas.microsoft.com/office/drawing/2014/main" id="{DFFB334C-0761-1042-B26A-BD2FED3D0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107693</xdr:colOff>
      <xdr:row>23</xdr:row>
      <xdr:rowOff>47959</xdr:rowOff>
    </xdr:from>
    <xdr:to>
      <xdr:col>17</xdr:col>
      <xdr:colOff>365016</xdr:colOff>
      <xdr:row>41</xdr:row>
      <xdr:rowOff>18651</xdr:rowOff>
    </xdr:to>
    <xdr:graphicFrame macro="">
      <xdr:nvGraphicFramePr>
        <xdr:cNvPr id="3" name="Chart 6">
          <a:extLst>
            <a:ext uri="{FF2B5EF4-FFF2-40B4-BE49-F238E27FC236}">
              <a16:creationId xmlns:a16="http://schemas.microsoft.com/office/drawing/2014/main" id="{1592DE16-EAB6-C31C-F4A5-44D34A51A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567238</xdr:colOff>
      <xdr:row>23</xdr:row>
      <xdr:rowOff>47958</xdr:rowOff>
    </xdr:from>
    <xdr:to>
      <xdr:col>28</xdr:col>
      <xdr:colOff>37302</xdr:colOff>
      <xdr:row>40</xdr:row>
      <xdr:rowOff>179842</xdr:rowOff>
    </xdr:to>
    <xdr:graphicFrame macro="">
      <xdr:nvGraphicFramePr>
        <xdr:cNvPr id="4" name="Chart 5">
          <a:extLst>
            <a:ext uri="{FF2B5EF4-FFF2-40B4-BE49-F238E27FC236}">
              <a16:creationId xmlns:a16="http://schemas.microsoft.com/office/drawing/2014/main" id="{5DE9965F-A623-F8D3-4FD3-0AA461012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74706</xdr:colOff>
      <xdr:row>14</xdr:row>
      <xdr:rowOff>51955</xdr:rowOff>
    </xdr:from>
    <xdr:to>
      <xdr:col>27</xdr:col>
      <xdr:colOff>432267</xdr:colOff>
      <xdr:row>21</xdr:row>
      <xdr:rowOff>93093</xdr:rowOff>
    </xdr:to>
    <mc:AlternateContent xmlns:mc="http://schemas.openxmlformats.org/markup-compatibility/2006" xmlns:tsle="http://schemas.microsoft.com/office/drawing/2012/timeslicer">
      <mc:Choice Requires="tsle">
        <xdr:graphicFrame macro="">
          <xdr:nvGraphicFramePr>
            <xdr:cNvPr id="5" name="Ship Date">
              <a:extLst>
                <a:ext uri="{FF2B5EF4-FFF2-40B4-BE49-F238E27FC236}">
                  <a16:creationId xmlns:a16="http://schemas.microsoft.com/office/drawing/2014/main" id="{B3D5C8BD-7FC9-4458-8045-3CC5B00D9C50}"/>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2751512" y="2832189"/>
              <a:ext cx="4046437" cy="12614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262439</xdr:colOff>
      <xdr:row>39</xdr:row>
      <xdr:rowOff>18652</xdr:rowOff>
    </xdr:from>
    <xdr:to>
      <xdr:col>9</xdr:col>
      <xdr:colOff>550670</xdr:colOff>
      <xdr:row>52</xdr:row>
      <xdr:rowOff>3998</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853347BC-57C2-4E0B-B410-367E0150A87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080848" y="7448152"/>
              <a:ext cx="3925049" cy="2461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247785</xdr:colOff>
      <xdr:row>52</xdr:row>
      <xdr:rowOff>165189</xdr:rowOff>
    </xdr:from>
    <xdr:to>
      <xdr:col>9</xdr:col>
      <xdr:colOff>515016</xdr:colOff>
      <xdr:row>67</xdr:row>
      <xdr:rowOff>17318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BE598BB-6048-4B60-9085-9911FAB7BC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66194" y="10071189"/>
              <a:ext cx="3904049" cy="2652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306400</xdr:colOff>
      <xdr:row>23</xdr:row>
      <xdr:rowOff>25685</xdr:rowOff>
    </xdr:from>
    <xdr:to>
      <xdr:col>9</xdr:col>
      <xdr:colOff>573631</xdr:colOff>
      <xdr:row>38</xdr:row>
      <xdr:rowOff>47959</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4CAE00C6-968B-441D-932A-CB8501C7DD1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124809" y="4407185"/>
              <a:ext cx="3904049" cy="2879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403411</xdr:colOff>
      <xdr:row>15</xdr:row>
      <xdr:rowOff>164353</xdr:rowOff>
    </xdr:from>
    <xdr:to>
      <xdr:col>6</xdr:col>
      <xdr:colOff>463176</xdr:colOff>
      <xdr:row>21</xdr:row>
      <xdr:rowOff>74706</xdr:rowOff>
    </xdr:to>
    <xdr:sp macro="" textlink="">
      <xdr:nvSpPr>
        <xdr:cNvPr id="6" name="Rectangle: Rounded Corners 5">
          <a:extLst>
            <a:ext uri="{FF2B5EF4-FFF2-40B4-BE49-F238E27FC236}">
              <a16:creationId xmlns:a16="http://schemas.microsoft.com/office/drawing/2014/main" id="{0819B1DB-A3FD-832D-D5BE-C16124F945A9}"/>
            </a:ext>
          </a:extLst>
        </xdr:cNvPr>
        <xdr:cNvSpPr/>
      </xdr:nvSpPr>
      <xdr:spPr>
        <a:xfrm>
          <a:off x="2241176" y="2853765"/>
          <a:ext cx="1897529" cy="98611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u="sng">
              <a:solidFill>
                <a:schemeClr val="accent3">
                  <a:lumMod val="75000"/>
                </a:schemeClr>
              </a:solidFill>
            </a:rPr>
            <a:t>AVERAGE SALES</a:t>
          </a:r>
        </a:p>
      </xdr:txBody>
    </xdr:sp>
    <xdr:clientData/>
  </xdr:twoCellAnchor>
  <xdr:twoCellAnchor>
    <xdr:from>
      <xdr:col>7</xdr:col>
      <xdr:colOff>137458</xdr:colOff>
      <xdr:row>15</xdr:row>
      <xdr:rowOff>167341</xdr:rowOff>
    </xdr:from>
    <xdr:to>
      <xdr:col>10</xdr:col>
      <xdr:colOff>197223</xdr:colOff>
      <xdr:row>21</xdr:row>
      <xdr:rowOff>77694</xdr:rowOff>
    </xdr:to>
    <xdr:sp macro="" textlink="">
      <xdr:nvSpPr>
        <xdr:cNvPr id="7" name="Rectangle: Rounded Corners 6">
          <a:extLst>
            <a:ext uri="{FF2B5EF4-FFF2-40B4-BE49-F238E27FC236}">
              <a16:creationId xmlns:a16="http://schemas.microsoft.com/office/drawing/2014/main" id="{0C86FCB5-282B-47B1-9F02-2C35EBEB02A9}"/>
            </a:ext>
          </a:extLst>
        </xdr:cNvPr>
        <xdr:cNvSpPr/>
      </xdr:nvSpPr>
      <xdr:spPr>
        <a:xfrm>
          <a:off x="4425576" y="2856753"/>
          <a:ext cx="1897529" cy="98611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u="sng">
              <a:solidFill>
                <a:schemeClr val="accent3">
                  <a:lumMod val="75000"/>
                </a:schemeClr>
              </a:solidFill>
            </a:rPr>
            <a:t>TOTAL</a:t>
          </a:r>
          <a:r>
            <a:rPr lang="en-IN" sz="1600" u="sng" baseline="0">
              <a:solidFill>
                <a:schemeClr val="accent3">
                  <a:lumMod val="75000"/>
                </a:schemeClr>
              </a:solidFill>
            </a:rPr>
            <a:t> PROFIT</a:t>
          </a:r>
          <a:endParaRPr lang="en-IN" sz="1600" u="sng">
            <a:solidFill>
              <a:schemeClr val="accent3">
                <a:lumMod val="75000"/>
              </a:schemeClr>
            </a:solidFill>
          </a:endParaRPr>
        </a:p>
      </xdr:txBody>
    </xdr:sp>
    <xdr:clientData/>
  </xdr:twoCellAnchor>
  <xdr:twoCellAnchor>
    <xdr:from>
      <xdr:col>14</xdr:col>
      <xdr:colOff>110565</xdr:colOff>
      <xdr:row>15</xdr:row>
      <xdr:rowOff>155389</xdr:rowOff>
    </xdr:from>
    <xdr:to>
      <xdr:col>17</xdr:col>
      <xdr:colOff>170329</xdr:colOff>
      <xdr:row>21</xdr:row>
      <xdr:rowOff>65742</xdr:rowOff>
    </xdr:to>
    <xdr:sp macro="" textlink="">
      <xdr:nvSpPr>
        <xdr:cNvPr id="11" name="Rectangle: Rounded Corners 10">
          <a:extLst>
            <a:ext uri="{FF2B5EF4-FFF2-40B4-BE49-F238E27FC236}">
              <a16:creationId xmlns:a16="http://schemas.microsoft.com/office/drawing/2014/main" id="{94F0210A-231E-44E8-808C-C5F17617871A}"/>
            </a:ext>
          </a:extLst>
        </xdr:cNvPr>
        <xdr:cNvSpPr/>
      </xdr:nvSpPr>
      <xdr:spPr>
        <a:xfrm>
          <a:off x="8686800" y="2844801"/>
          <a:ext cx="1897529" cy="98611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u="sng">
              <a:solidFill>
                <a:schemeClr val="accent3">
                  <a:lumMod val="75000"/>
                </a:schemeClr>
              </a:solidFill>
            </a:rPr>
            <a:t>GROWTH</a:t>
          </a:r>
          <a:r>
            <a:rPr lang="en-IN" sz="1600" u="sng" baseline="0">
              <a:solidFill>
                <a:schemeClr val="accent3">
                  <a:lumMod val="75000"/>
                </a:schemeClr>
              </a:solidFill>
            </a:rPr>
            <a:t> %</a:t>
          </a:r>
          <a:endParaRPr lang="en-IN" sz="1600" u="sng">
            <a:solidFill>
              <a:schemeClr val="accent3">
                <a:lumMod val="75000"/>
              </a:schemeClr>
            </a:solidFill>
          </a:endParaRPr>
        </a:p>
      </xdr:txBody>
    </xdr:sp>
    <xdr:clientData/>
  </xdr:twoCellAnchor>
  <xdr:twoCellAnchor>
    <xdr:from>
      <xdr:col>10</xdr:col>
      <xdr:colOff>427318</xdr:colOff>
      <xdr:row>15</xdr:row>
      <xdr:rowOff>158377</xdr:rowOff>
    </xdr:from>
    <xdr:to>
      <xdr:col>13</xdr:col>
      <xdr:colOff>487082</xdr:colOff>
      <xdr:row>21</xdr:row>
      <xdr:rowOff>68730</xdr:rowOff>
    </xdr:to>
    <xdr:sp macro="" textlink="">
      <xdr:nvSpPr>
        <xdr:cNvPr id="12" name="Rectangle: Rounded Corners 11">
          <a:extLst>
            <a:ext uri="{FF2B5EF4-FFF2-40B4-BE49-F238E27FC236}">
              <a16:creationId xmlns:a16="http://schemas.microsoft.com/office/drawing/2014/main" id="{5E57291B-EF65-4AAD-9BDF-60FB7E68438A}"/>
            </a:ext>
          </a:extLst>
        </xdr:cNvPr>
        <xdr:cNvSpPr/>
      </xdr:nvSpPr>
      <xdr:spPr>
        <a:xfrm>
          <a:off x="6553200" y="2847789"/>
          <a:ext cx="1897529" cy="98611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u="sng">
              <a:solidFill>
                <a:schemeClr val="accent3">
                  <a:lumMod val="75000"/>
                </a:schemeClr>
              </a:solidFill>
            </a:rPr>
            <a:t>PROFIT</a:t>
          </a:r>
          <a:r>
            <a:rPr lang="en-IN" sz="1600" u="sng" baseline="0">
              <a:solidFill>
                <a:schemeClr val="accent3">
                  <a:lumMod val="75000"/>
                </a:schemeClr>
              </a:solidFill>
            </a:rPr>
            <a:t> MARGIN %</a:t>
          </a:r>
          <a:endParaRPr lang="en-IN" sz="1600" u="sng">
            <a:solidFill>
              <a:schemeClr val="accent3">
                <a:lumMod val="75000"/>
              </a:schemeClr>
            </a:solidFill>
          </a:endParaRPr>
        </a:p>
      </xdr:txBody>
    </xdr:sp>
    <xdr:clientData/>
  </xdr:twoCellAnchor>
  <xdr:twoCellAnchor>
    <xdr:from>
      <xdr:col>17</xdr:col>
      <xdr:colOff>445247</xdr:colOff>
      <xdr:row>15</xdr:row>
      <xdr:rowOff>146424</xdr:rowOff>
    </xdr:from>
    <xdr:to>
      <xdr:col>20</xdr:col>
      <xdr:colOff>505011</xdr:colOff>
      <xdr:row>21</xdr:row>
      <xdr:rowOff>56777</xdr:rowOff>
    </xdr:to>
    <xdr:sp macro="" textlink="">
      <xdr:nvSpPr>
        <xdr:cNvPr id="13" name="Rectangle: Rounded Corners 12">
          <a:extLst>
            <a:ext uri="{FF2B5EF4-FFF2-40B4-BE49-F238E27FC236}">
              <a16:creationId xmlns:a16="http://schemas.microsoft.com/office/drawing/2014/main" id="{50899500-19E9-4414-A171-1EC90E761F52}"/>
            </a:ext>
          </a:extLst>
        </xdr:cNvPr>
        <xdr:cNvSpPr/>
      </xdr:nvSpPr>
      <xdr:spPr>
        <a:xfrm>
          <a:off x="10859247" y="2835836"/>
          <a:ext cx="1897529" cy="98611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u="sng">
              <a:solidFill>
                <a:schemeClr val="accent3">
                  <a:lumMod val="75000"/>
                </a:schemeClr>
              </a:solidFill>
            </a:rPr>
            <a:t>TOP</a:t>
          </a:r>
          <a:r>
            <a:rPr lang="en-IN" sz="1600" u="sng" baseline="0">
              <a:solidFill>
                <a:schemeClr val="accent3">
                  <a:lumMod val="75000"/>
                </a:schemeClr>
              </a:solidFill>
            </a:rPr>
            <a:t> REGION</a:t>
          </a:r>
          <a:endParaRPr lang="en-IN" sz="1600" u="sng">
            <a:solidFill>
              <a:schemeClr val="accent3">
                <a:lumMod val="75000"/>
              </a:schemeClr>
            </a:solidFill>
          </a:endParaRPr>
        </a:p>
      </xdr:txBody>
    </xdr:sp>
    <xdr:clientData/>
  </xdr:twoCellAnchor>
  <xdr:twoCellAnchor>
    <xdr:from>
      <xdr:col>18</xdr:col>
      <xdr:colOff>89647</xdr:colOff>
      <xdr:row>17</xdr:row>
      <xdr:rowOff>89647</xdr:rowOff>
    </xdr:from>
    <xdr:to>
      <xdr:col>20</xdr:col>
      <xdr:colOff>239059</xdr:colOff>
      <xdr:row>21</xdr:row>
      <xdr:rowOff>149412</xdr:rowOff>
    </xdr:to>
    <xdr:sp macro="" textlink="PIVOT!$A$55">
      <xdr:nvSpPr>
        <xdr:cNvPr id="14" name="TextBox 13">
          <a:extLst>
            <a:ext uri="{FF2B5EF4-FFF2-40B4-BE49-F238E27FC236}">
              <a16:creationId xmlns:a16="http://schemas.microsoft.com/office/drawing/2014/main" id="{0FEF44E4-9191-DB66-1A40-21096D432D50}"/>
            </a:ext>
          </a:extLst>
        </xdr:cNvPr>
        <xdr:cNvSpPr txBox="1"/>
      </xdr:nvSpPr>
      <xdr:spPr>
        <a:xfrm>
          <a:off x="11116235" y="3137647"/>
          <a:ext cx="1374589" cy="776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92FB170-54E0-440D-A7FB-0AF319DAB39E}" type="TxLink">
            <a:rPr lang="en-US" sz="4000" b="1" i="0" u="none" strike="noStrike">
              <a:solidFill>
                <a:schemeClr val="accent3">
                  <a:lumMod val="75000"/>
                </a:schemeClr>
              </a:solidFill>
              <a:latin typeface="Aptos Narrow"/>
            </a:rPr>
            <a:pPr algn="ctr"/>
            <a:t>West</a:t>
          </a:fld>
          <a:endParaRPr lang="en-IN" sz="4000" b="1">
            <a:solidFill>
              <a:schemeClr val="accent3">
                <a:lumMod val="75000"/>
              </a:schemeClr>
            </a:solidFill>
          </a:endParaRPr>
        </a:p>
      </xdr:txBody>
    </xdr:sp>
    <xdr:clientData/>
  </xdr:twoCellAnchor>
  <xdr:twoCellAnchor>
    <xdr:from>
      <xdr:col>14</xdr:col>
      <xdr:colOff>298823</xdr:colOff>
      <xdr:row>18</xdr:row>
      <xdr:rowOff>44824</xdr:rowOff>
    </xdr:from>
    <xdr:to>
      <xdr:col>17</xdr:col>
      <xdr:colOff>165651</xdr:colOff>
      <xdr:row>20</xdr:row>
      <xdr:rowOff>99391</xdr:rowOff>
    </xdr:to>
    <xdr:sp macro="" textlink="PIVOT!$B$50">
      <xdr:nvSpPr>
        <xdr:cNvPr id="15" name="TextBox 14">
          <a:extLst>
            <a:ext uri="{FF2B5EF4-FFF2-40B4-BE49-F238E27FC236}">
              <a16:creationId xmlns:a16="http://schemas.microsoft.com/office/drawing/2014/main" id="{C665635B-1D59-2923-2D55-579969D130EF}"/>
            </a:ext>
          </a:extLst>
        </xdr:cNvPr>
        <xdr:cNvSpPr txBox="1"/>
      </xdr:nvSpPr>
      <xdr:spPr>
        <a:xfrm>
          <a:off x="8879606" y="3324737"/>
          <a:ext cx="1705567" cy="419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26DC8A-FB4A-4707-BA10-94E2A5AC4DC2}" type="TxLink">
            <a:rPr lang="en-US" sz="2000" b="0" i="0" u="none" strike="noStrike">
              <a:ln>
                <a:solidFill>
                  <a:schemeClr val="accent3"/>
                </a:solidFill>
              </a:ln>
              <a:solidFill>
                <a:schemeClr val="tx1"/>
              </a:solidFill>
              <a:latin typeface="Aptos Narrow"/>
            </a:rPr>
            <a:t>₹ 1,57,493.57</a:t>
          </a:fld>
          <a:endParaRPr lang="en-IN" sz="6600" b="1">
            <a:ln>
              <a:solidFill>
                <a:schemeClr val="accent3"/>
              </a:solidFill>
            </a:ln>
            <a:solidFill>
              <a:schemeClr val="tx1"/>
            </a:solidFill>
          </a:endParaRPr>
        </a:p>
      </xdr:txBody>
    </xdr:sp>
    <xdr:clientData/>
  </xdr:twoCellAnchor>
  <xdr:oneCellAnchor>
    <xdr:from>
      <xdr:col>11</xdr:col>
      <xdr:colOff>94518</xdr:colOff>
      <xdr:row>17</xdr:row>
      <xdr:rowOff>33455</xdr:rowOff>
    </xdr:from>
    <xdr:ext cx="1479177" cy="718530"/>
    <xdr:sp macro="" textlink="PIVOT!$C50">
      <xdr:nvSpPr>
        <xdr:cNvPr id="17" name="TextBox 16">
          <a:extLst>
            <a:ext uri="{FF2B5EF4-FFF2-40B4-BE49-F238E27FC236}">
              <a16:creationId xmlns:a16="http://schemas.microsoft.com/office/drawing/2014/main" id="{DEA3441B-4882-F2A0-D19B-5D0535F1F5DE}"/>
            </a:ext>
          </a:extLst>
        </xdr:cNvPr>
        <xdr:cNvSpPr txBox="1"/>
      </xdr:nvSpPr>
      <xdr:spPr>
        <a:xfrm>
          <a:off x="6836561" y="3131151"/>
          <a:ext cx="1479177"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A841C79-0507-4304-B811-CF73C29BAF3B}" type="TxLink">
            <a:rPr lang="en-US" sz="4000" b="0" i="0" u="none" strike="noStrike">
              <a:solidFill>
                <a:srgbClr val="000000"/>
              </a:solidFill>
              <a:latin typeface="Aptos Narrow"/>
            </a:rPr>
            <a:pPr/>
            <a:t>150%</a:t>
          </a:fld>
          <a:endParaRPr lang="en-IN" sz="7200">
            <a:solidFill>
              <a:schemeClr val="accent3">
                <a:lumMod val="75000"/>
              </a:schemeClr>
            </a:solidFill>
          </a:endParaRPr>
        </a:p>
      </xdr:txBody>
    </xdr:sp>
    <xdr:clientData/>
  </xdr:oneCellAnchor>
  <xdr:twoCellAnchor>
    <xdr:from>
      <xdr:col>7</xdr:col>
      <xdr:colOff>335527</xdr:colOff>
      <xdr:row>18</xdr:row>
      <xdr:rowOff>31507</xdr:rowOff>
    </xdr:from>
    <xdr:to>
      <xdr:col>10</xdr:col>
      <xdr:colOff>182217</xdr:colOff>
      <xdr:row>21</xdr:row>
      <xdr:rowOff>49697</xdr:rowOff>
    </xdr:to>
    <xdr:sp macro="" textlink="PIVOT!$B24">
      <xdr:nvSpPr>
        <xdr:cNvPr id="18" name="TextBox 17">
          <a:extLst>
            <a:ext uri="{FF2B5EF4-FFF2-40B4-BE49-F238E27FC236}">
              <a16:creationId xmlns:a16="http://schemas.microsoft.com/office/drawing/2014/main" id="{8B315E24-9315-45D9-821C-9D20B4AC3267}"/>
            </a:ext>
          </a:extLst>
        </xdr:cNvPr>
        <xdr:cNvSpPr txBox="1"/>
      </xdr:nvSpPr>
      <xdr:spPr>
        <a:xfrm>
          <a:off x="4625918" y="3311420"/>
          <a:ext cx="1685429" cy="564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621127-FAF1-4791-BF97-5327F4A432B0}" type="TxLink">
            <a:rPr lang="en-US" sz="1800" b="1" i="0" u="none" strike="noStrike">
              <a:ln>
                <a:solidFill>
                  <a:schemeClr val="accent3"/>
                </a:solidFill>
              </a:ln>
              <a:solidFill>
                <a:schemeClr val="tx1"/>
              </a:solidFill>
              <a:latin typeface="Aptos Narrow"/>
            </a:rPr>
            <a:t>₹ 1,57,493.57</a:t>
          </a:fld>
          <a:endParaRPr lang="en-IN" sz="3600" b="1">
            <a:ln>
              <a:solidFill>
                <a:schemeClr val="accent3"/>
              </a:solidFill>
            </a:ln>
            <a:solidFill>
              <a:schemeClr val="tx1"/>
            </a:solidFill>
          </a:endParaRPr>
        </a:p>
      </xdr:txBody>
    </xdr:sp>
    <xdr:clientData/>
  </xdr:twoCellAnchor>
  <xdr:twoCellAnchor>
    <xdr:from>
      <xdr:col>3</xdr:col>
      <xdr:colOff>530087</xdr:colOff>
      <xdr:row>18</xdr:row>
      <xdr:rowOff>44824</xdr:rowOff>
    </xdr:from>
    <xdr:to>
      <xdr:col>6</xdr:col>
      <xdr:colOff>447261</xdr:colOff>
      <xdr:row>20</xdr:row>
      <xdr:rowOff>149087</xdr:rowOff>
    </xdr:to>
    <xdr:sp macro="" textlink="PIVOT!$B8">
      <xdr:nvSpPr>
        <xdr:cNvPr id="19" name="TextBox 18">
          <a:extLst>
            <a:ext uri="{FF2B5EF4-FFF2-40B4-BE49-F238E27FC236}">
              <a16:creationId xmlns:a16="http://schemas.microsoft.com/office/drawing/2014/main" id="{BA94C3A8-178F-31F7-0A4B-725ABDBB36D1}"/>
            </a:ext>
          </a:extLst>
        </xdr:cNvPr>
        <xdr:cNvSpPr txBox="1"/>
      </xdr:nvSpPr>
      <xdr:spPr>
        <a:xfrm>
          <a:off x="2368826" y="3324737"/>
          <a:ext cx="1755913" cy="468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38AC9-D29A-4866-BF2F-F2E2DA8F2ED7}" type="TxLink">
            <a:rPr lang="en-US" sz="2000" b="1" i="0" u="none" strike="noStrike">
              <a:solidFill>
                <a:schemeClr val="accent3">
                  <a:lumMod val="75000"/>
                </a:schemeClr>
              </a:solidFill>
              <a:latin typeface="Aptos Narrow"/>
            </a:rPr>
            <a:pPr/>
            <a:t>₹ 78,746.79</a:t>
          </a:fld>
          <a:endParaRPr lang="en-IN" sz="2000" b="1">
            <a:solidFill>
              <a:schemeClr val="accent3">
                <a:lumMod val="75000"/>
              </a:schemeClr>
            </a:solidFill>
          </a:endParaRPr>
        </a:p>
      </xdr:txBody>
    </xdr:sp>
    <xdr:clientData/>
  </xdr:twoCellAnchor>
  <xdr:twoCellAnchor>
    <xdr:from>
      <xdr:col>2</xdr:col>
      <xdr:colOff>301256</xdr:colOff>
      <xdr:row>1</xdr:row>
      <xdr:rowOff>0</xdr:rowOff>
    </xdr:from>
    <xdr:to>
      <xdr:col>28</xdr:col>
      <xdr:colOff>460744</xdr:colOff>
      <xdr:row>10</xdr:row>
      <xdr:rowOff>0</xdr:rowOff>
    </xdr:to>
    <xdr:sp macro="" textlink="">
      <xdr:nvSpPr>
        <xdr:cNvPr id="20" name="TextBox 19">
          <a:extLst>
            <a:ext uri="{FF2B5EF4-FFF2-40B4-BE49-F238E27FC236}">
              <a16:creationId xmlns:a16="http://schemas.microsoft.com/office/drawing/2014/main" id="{5C111492-4230-EA80-7823-609D2BC970F0}"/>
            </a:ext>
          </a:extLst>
        </xdr:cNvPr>
        <xdr:cNvSpPr txBox="1"/>
      </xdr:nvSpPr>
      <xdr:spPr>
        <a:xfrm>
          <a:off x="1506279" y="177209"/>
          <a:ext cx="15824791" cy="1594884"/>
        </a:xfrm>
        <a:prstGeom prst="rect">
          <a:avLst/>
        </a:prstGeom>
        <a:solidFill>
          <a:schemeClr val="accent3">
            <a:lumMod val="20000"/>
            <a:lumOff val="80000"/>
          </a:schemeClr>
        </a:solid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600" u="sng">
              <a:latin typeface="Algerian" panose="04020705040A02060702" pitchFamily="82" charset="0"/>
            </a:rPr>
            <a:t>SALES &amp;PERMANCE DASHBOARD</a:t>
          </a:r>
        </a:p>
      </xdr:txBody>
    </xdr:sp>
    <xdr:clientData/>
  </xdr:twoCellAnchor>
  <xdr:twoCellAnchor editAs="oneCell">
    <xdr:from>
      <xdr:col>26</xdr:col>
      <xdr:colOff>460745</xdr:colOff>
      <xdr:row>2</xdr:row>
      <xdr:rowOff>141767</xdr:rowOff>
    </xdr:from>
    <xdr:to>
      <xdr:col>28</xdr:col>
      <xdr:colOff>170121</xdr:colOff>
      <xdr:row>7</xdr:row>
      <xdr:rowOff>170121</xdr:rowOff>
    </xdr:to>
    <xdr:pic>
      <xdr:nvPicPr>
        <xdr:cNvPr id="22" name="Graphic 21" descr="Business Growth with solid fill">
          <a:extLst>
            <a:ext uri="{FF2B5EF4-FFF2-40B4-BE49-F238E27FC236}">
              <a16:creationId xmlns:a16="http://schemas.microsoft.com/office/drawing/2014/main" id="{5CAE1AFE-4983-7A4B-8AAD-CCDD9E0DB9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126047" y="496186"/>
          <a:ext cx="914400" cy="914400"/>
        </a:xfrm>
        <a:prstGeom prst="rect">
          <a:avLst/>
        </a:prstGeom>
      </xdr:spPr>
    </xdr:pic>
    <xdr:clientData/>
  </xdr:twoCellAnchor>
  <xdr:twoCellAnchor editAs="oneCell">
    <xdr:from>
      <xdr:col>2</xdr:col>
      <xdr:colOff>445334</xdr:colOff>
      <xdr:row>1</xdr:row>
      <xdr:rowOff>149087</xdr:rowOff>
    </xdr:from>
    <xdr:to>
      <xdr:col>4</xdr:col>
      <xdr:colOff>409892</xdr:colOff>
      <xdr:row>8</xdr:row>
      <xdr:rowOff>73196</xdr:rowOff>
    </xdr:to>
    <xdr:pic>
      <xdr:nvPicPr>
        <xdr:cNvPr id="24" name="Graphic 23" descr="Arrow circle with solid fill">
          <a:extLst>
            <a:ext uri="{FF2B5EF4-FFF2-40B4-BE49-F238E27FC236}">
              <a16:creationId xmlns:a16="http://schemas.microsoft.com/office/drawing/2014/main" id="{CB82CD85-50F3-9C4F-CCD5-F3FAFC8B7A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71160" y="331304"/>
          <a:ext cx="1190384" cy="11996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209.640056365737" createdVersion="8" refreshedVersion="8" minRefreshableVersion="3" recordCount="611" xr:uid="{454BB210-5A4D-4C33-85EA-2F0D1B006FB1}">
  <cacheSource type="worksheet">
    <worksheetSource name="Table1"/>
  </cacheSource>
  <cacheFields count="24">
    <cacheField name="Row ID" numFmtId="0">
      <sharedItems containsSemiMixedTypes="0" containsString="0" containsNumber="1" containsInteger="1" minValue="1" maxValue="611"/>
    </cacheField>
    <cacheField name="Order ID" numFmtId="0">
      <sharedItems/>
    </cacheField>
    <cacheField name="Order Date" numFmtId="164">
      <sharedItems containsSemiMixedTypes="0" containsNonDate="0" containsDate="1" containsString="0" minDate="2014-01-09T00:00:00" maxDate="2017-12-29T00:00:00" count="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sharedItems>
      <fieldGroup par="23"/>
    </cacheField>
    <cacheField name="Ship Date" numFmtId="164">
      <sharedItems containsSemiMixedTypes="0" containsNonDate="0" containsDate="1" containsString="0" minDate="2014-01-13T00:00:00" maxDate="2018-01-05T00:00:00" count="250">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sharedItems>
    </cacheField>
    <cacheField name="Ship Mode" numFmtId="0">
      <sharedItems count="4">
        <s v="Second Class"/>
        <s v="Standard Class"/>
        <s v="First Class"/>
        <s v="Same Day"/>
      </sharedItems>
    </cacheField>
    <cacheField name="Customer ID" numFmtId="0">
      <sharedItems count="241">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270"/>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1.24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1665.0522000000001" maxValue="3177.4749999999999"/>
    </cacheField>
    <cacheField name="Months (Order Date)" numFmtId="0" databaseField="0">
      <fieldGroup base="2">
        <rangePr groupBy="months" startDate="2014-01-09T00:00:00" endDate="2017-12-29T00:00:00"/>
        <groupItems count="14">
          <s v="&lt;09-01-2014"/>
          <s v="Jan"/>
          <s v="Feb"/>
          <s v="Mar"/>
          <s v="Apr"/>
          <s v="May"/>
          <s v="Jun"/>
          <s v="Jul"/>
          <s v="Aug"/>
          <s v="Sep"/>
          <s v="Oct"/>
          <s v="Nov"/>
          <s v="Dec"/>
          <s v="&gt;29-12-2017"/>
        </groupItems>
      </fieldGroup>
    </cacheField>
    <cacheField name="Quarters (Order Date)" numFmtId="0" databaseField="0">
      <fieldGroup base="2">
        <rangePr groupBy="quarters" startDate="2014-01-09T00:00:00" endDate="2017-12-29T00:00:00"/>
        <groupItems count="6">
          <s v="&lt;09-01-2014"/>
          <s v="Qtr1"/>
          <s v="Qtr2"/>
          <s v="Qtr3"/>
          <s v="Qtr4"/>
          <s v="&gt;29-12-2017"/>
        </groupItems>
      </fieldGroup>
    </cacheField>
    <cacheField name="Years (Order Date)" numFmtId="0" databaseField="0">
      <fieldGroup base="2">
        <rangePr groupBy="years" startDate="2014-01-09T00:00:00" endDate="2017-12-29T00:00:00"/>
        <groupItems count="6">
          <s v="&lt;09-01-2014"/>
          <s v="2014"/>
          <s v="2015"/>
          <s v="2016"/>
          <s v="2017"/>
          <s v="&gt;29-12-2017"/>
        </groupItems>
      </fieldGroup>
    </cacheField>
  </cacheFields>
  <extLst>
    <ext xmlns:x14="http://schemas.microsoft.com/office/spreadsheetml/2009/9/main" uri="{725AE2AE-9491-48be-B2B4-4EB974FC3084}">
      <x14:pivotCacheDefinition pivotCacheId="485746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n v="1"/>
    <s v="CA-2016-152156"/>
    <x v="0"/>
    <x v="0"/>
    <x v="0"/>
    <x v="0"/>
    <s v="Claire Gute"/>
    <x v="0"/>
    <s v="United States"/>
    <s v="Henderson"/>
    <s v="Kentucky"/>
    <n v="42420"/>
    <x v="0"/>
    <s v="FUR-BO-10001798"/>
    <x v="0"/>
    <s v="Bookcases"/>
    <s v="Bush Somerset Collection Bookcase"/>
    <n v="261.95999999999998"/>
    <n v="2"/>
    <x v="0"/>
    <n v="41.913600000000002"/>
  </r>
  <r>
    <n v="2"/>
    <s v="CA-2016-152156"/>
    <x v="0"/>
    <x v="0"/>
    <x v="0"/>
    <x v="0"/>
    <s v="Claire Gute"/>
    <x v="0"/>
    <s v="United States"/>
    <s v="Henderson"/>
    <s v="Kentucky"/>
    <n v="42420"/>
    <x v="0"/>
    <s v="FUR-CH-10000454"/>
    <x v="0"/>
    <s v="Chairs"/>
    <s v="Hon Deluxe Fabric Upholstered Stacking Chairs, Rounded Back"/>
    <n v="731.94"/>
    <n v="3"/>
    <x v="0"/>
    <n v="219.58199999999999"/>
  </r>
  <r>
    <n v="3"/>
    <s v="CA-2016-138688"/>
    <x v="1"/>
    <x v="1"/>
    <x v="0"/>
    <x v="1"/>
    <s v="Darrin Van Huff"/>
    <x v="1"/>
    <s v="United States"/>
    <s v="Los Angeles"/>
    <s v="California"/>
    <n v="90036"/>
    <x v="1"/>
    <s v="OFF-LA-10000240"/>
    <x v="1"/>
    <s v="Labels"/>
    <s v="Self-Adhesive Address Labels for Typewriters by Universal"/>
    <n v="14.62"/>
    <n v="2"/>
    <x v="0"/>
    <n v="6.8714000000000004"/>
  </r>
  <r>
    <n v="4"/>
    <s v="US-2015-108966"/>
    <x v="2"/>
    <x v="2"/>
    <x v="1"/>
    <x v="2"/>
    <s v="Sean O'Donnell"/>
    <x v="0"/>
    <s v="United States"/>
    <s v="Fort Lauderdale"/>
    <s v="Florida"/>
    <n v="33311"/>
    <x v="0"/>
    <s v="FUR-TA-10000577"/>
    <x v="0"/>
    <s v="Tables"/>
    <s v="Bretford CR4500 Series Slim Rectangular Table"/>
    <n v="957.57749999999999"/>
    <n v="5"/>
    <x v="1"/>
    <n v="-383.03100000000001"/>
  </r>
  <r>
    <n v="5"/>
    <s v="US-2015-108966"/>
    <x v="2"/>
    <x v="2"/>
    <x v="1"/>
    <x v="2"/>
    <s v="Sean O'Donnell"/>
    <x v="0"/>
    <s v="United States"/>
    <s v="Fort Lauderdale"/>
    <s v="Florida"/>
    <n v="33311"/>
    <x v="0"/>
    <s v="OFF-ST-10000760"/>
    <x v="1"/>
    <s v="Storage"/>
    <s v="Eldon Fold 'N Roll Cart System"/>
    <n v="22.367999999999999"/>
    <n v="2"/>
    <x v="2"/>
    <n v="2.5164"/>
  </r>
  <r>
    <n v="6"/>
    <s v="CA-2014-115812"/>
    <x v="3"/>
    <x v="3"/>
    <x v="1"/>
    <x v="3"/>
    <s v="Brosina Hoffman"/>
    <x v="0"/>
    <s v="United States"/>
    <s v="Los Angeles"/>
    <s v="California"/>
    <n v="90032"/>
    <x v="1"/>
    <s v="FUR-FU-10001487"/>
    <x v="0"/>
    <s v="Furnishings"/>
    <s v="Eldon Expressions Wood and Plastic Desk Accessories, Cherry Wood"/>
    <n v="48.86"/>
    <n v="7"/>
    <x v="0"/>
    <n v="14.1694"/>
  </r>
  <r>
    <n v="7"/>
    <s v="CA-2014-115812"/>
    <x v="3"/>
    <x v="3"/>
    <x v="1"/>
    <x v="3"/>
    <s v="Brosina Hoffman"/>
    <x v="0"/>
    <s v="United States"/>
    <s v="Los Angeles"/>
    <s v="California"/>
    <n v="90032"/>
    <x v="1"/>
    <s v="OFF-AR-10002833"/>
    <x v="1"/>
    <s v="Art"/>
    <s v="Newell 322"/>
    <n v="7.28"/>
    <n v="4"/>
    <x v="0"/>
    <n v="1.9656"/>
  </r>
  <r>
    <n v="8"/>
    <s v="CA-2014-115812"/>
    <x v="3"/>
    <x v="3"/>
    <x v="1"/>
    <x v="3"/>
    <s v="Brosina Hoffman"/>
    <x v="0"/>
    <s v="United States"/>
    <s v="Los Angeles"/>
    <s v="California"/>
    <n v="90032"/>
    <x v="1"/>
    <s v="TEC-PH-10002275"/>
    <x v="2"/>
    <s v="Phones"/>
    <s v="Mitel 5320 IP Phone VoIP phone"/>
    <n v="907.15200000000004"/>
    <n v="6"/>
    <x v="2"/>
    <n v="90.715199999999996"/>
  </r>
  <r>
    <n v="9"/>
    <s v="CA-2014-115812"/>
    <x v="3"/>
    <x v="3"/>
    <x v="1"/>
    <x v="3"/>
    <s v="Brosina Hoffman"/>
    <x v="0"/>
    <s v="United States"/>
    <s v="Los Angeles"/>
    <s v="California"/>
    <n v="90032"/>
    <x v="1"/>
    <s v="OFF-BI-10003910"/>
    <x v="1"/>
    <s v="Binders"/>
    <s v="DXL Angle-View Binders with Locking Rings by Samsill"/>
    <n v="18.504000000000001"/>
    <n v="3"/>
    <x v="2"/>
    <n v="5.7824999999999998"/>
  </r>
  <r>
    <n v="10"/>
    <s v="CA-2014-115812"/>
    <x v="3"/>
    <x v="3"/>
    <x v="1"/>
    <x v="3"/>
    <s v="Brosina Hoffman"/>
    <x v="0"/>
    <s v="United States"/>
    <s v="Los Angeles"/>
    <s v="California"/>
    <n v="90032"/>
    <x v="1"/>
    <s v="OFF-AP-10002892"/>
    <x v="1"/>
    <s v="Appliances"/>
    <s v="Belkin F5C206VTEL 6 Outlet Surge"/>
    <n v="114.9"/>
    <n v="5"/>
    <x v="0"/>
    <n v="34.47"/>
  </r>
  <r>
    <n v="11"/>
    <s v="CA-2014-115812"/>
    <x v="3"/>
    <x v="3"/>
    <x v="1"/>
    <x v="3"/>
    <s v="Brosina Hoffman"/>
    <x v="0"/>
    <s v="United States"/>
    <s v="Los Angeles"/>
    <s v="California"/>
    <n v="90032"/>
    <x v="1"/>
    <s v="FUR-TA-10001539"/>
    <x v="0"/>
    <s v="Tables"/>
    <s v="Chromcraft Rectangular Conference Tables"/>
    <n v="1706.184"/>
    <n v="9"/>
    <x v="2"/>
    <n v="85.309199999999805"/>
  </r>
  <r>
    <n v="12"/>
    <s v="CA-2014-115812"/>
    <x v="3"/>
    <x v="3"/>
    <x v="1"/>
    <x v="3"/>
    <s v="Brosina Hoffman"/>
    <x v="0"/>
    <s v="United States"/>
    <s v="Los Angeles"/>
    <s v="California"/>
    <n v="90032"/>
    <x v="1"/>
    <s v="TEC-PH-10002033"/>
    <x v="2"/>
    <s v="Phones"/>
    <s v="Konftel 250 Conference phone - Charcoal black"/>
    <n v="911.42399999999998"/>
    <n v="4"/>
    <x v="2"/>
    <n v="68.356800000000007"/>
  </r>
  <r>
    <n v="13"/>
    <s v="CA-2017-114412"/>
    <x v="4"/>
    <x v="4"/>
    <x v="1"/>
    <x v="4"/>
    <s v="Andrew Allen"/>
    <x v="0"/>
    <s v="United States"/>
    <s v="Concord"/>
    <s v="North Carolina"/>
    <n v="28027"/>
    <x v="0"/>
    <s v="OFF-PA-10002365"/>
    <x v="1"/>
    <s v="Paper"/>
    <s v="Xerox 1967"/>
    <n v="15.552"/>
    <n v="3"/>
    <x v="2"/>
    <n v="5.4432"/>
  </r>
  <r>
    <n v="14"/>
    <s v="CA-2016-161389"/>
    <x v="5"/>
    <x v="5"/>
    <x v="1"/>
    <x v="5"/>
    <s v="Irene Maddox"/>
    <x v="0"/>
    <s v="United States"/>
    <s v="Seattle"/>
    <s v="Washington"/>
    <n v="98103"/>
    <x v="1"/>
    <s v="OFF-BI-10003656"/>
    <x v="1"/>
    <s v="Binders"/>
    <s v="Fellowes PB200 Plastic Comb Binding Machine"/>
    <n v="407.976"/>
    <n v="3"/>
    <x v="2"/>
    <n v="132.59219999999999"/>
  </r>
  <r>
    <n v="15"/>
    <s v="US-2015-118983"/>
    <x v="6"/>
    <x v="6"/>
    <x v="1"/>
    <x v="6"/>
    <s v="Harold Pawlan"/>
    <x v="2"/>
    <s v="United States"/>
    <s v="Fort Worth"/>
    <s v="Texas"/>
    <n v="76106"/>
    <x v="2"/>
    <s v="OFF-AP-10002311"/>
    <x v="1"/>
    <s v="Appliances"/>
    <s v="Holmes Replacement Filter for HEPA Air Cleaner, Very Large Room, HEPA Filter"/>
    <n v="68.81"/>
    <n v="5"/>
    <x v="3"/>
    <n v="-123.858"/>
  </r>
  <r>
    <n v="16"/>
    <s v="US-2015-118983"/>
    <x v="6"/>
    <x v="6"/>
    <x v="1"/>
    <x v="6"/>
    <s v="Harold Pawlan"/>
    <x v="2"/>
    <s v="United States"/>
    <s v="Fort Worth"/>
    <s v="Texas"/>
    <n v="76106"/>
    <x v="2"/>
    <s v="OFF-BI-10000756"/>
    <x v="1"/>
    <s v="Binders"/>
    <s v="Storex DuraTech Recycled Plastic Frosted Binders"/>
    <n v="2.544"/>
    <n v="3"/>
    <x v="3"/>
    <n v="-3.8159999999999998"/>
  </r>
  <r>
    <n v="17"/>
    <s v="CA-2014-105893"/>
    <x v="7"/>
    <x v="7"/>
    <x v="1"/>
    <x v="7"/>
    <s v="Pete Kriz"/>
    <x v="0"/>
    <s v="United States"/>
    <s v="Madison"/>
    <s v="Wisconsin"/>
    <n v="53711"/>
    <x v="2"/>
    <s v="OFF-ST-10004186"/>
    <x v="1"/>
    <s v="Storage"/>
    <s v="Stur-D-Stor Shelving, Vertical 5-Shelf: 72&quot;H x 36&quot;W x 18 1/2&quot;D"/>
    <n v="665.88"/>
    <n v="6"/>
    <x v="0"/>
    <n v="13.317600000000001"/>
  </r>
  <r>
    <n v="18"/>
    <s v="CA-2014-167164"/>
    <x v="8"/>
    <x v="8"/>
    <x v="0"/>
    <x v="8"/>
    <s v="Alejandro Grove"/>
    <x v="0"/>
    <s v="United States"/>
    <s v="West Jordan"/>
    <s v="Utah"/>
    <n v="84084"/>
    <x v="1"/>
    <s v="OFF-ST-10000107"/>
    <x v="1"/>
    <s v="Storage"/>
    <s v="Fellowes Super Stor/Drawer"/>
    <n v="55.5"/>
    <n v="2"/>
    <x v="0"/>
    <n v="9.9899999999999896"/>
  </r>
  <r>
    <n v="19"/>
    <s v="CA-2014-143336"/>
    <x v="9"/>
    <x v="9"/>
    <x v="0"/>
    <x v="9"/>
    <s v="Zuschuss Donatelli"/>
    <x v="0"/>
    <s v="United States"/>
    <s v="San Francisco"/>
    <s v="California"/>
    <n v="94109"/>
    <x v="1"/>
    <s v="OFF-AR-10003056"/>
    <x v="1"/>
    <s v="Art"/>
    <s v="Newell 341"/>
    <n v="8.56"/>
    <n v="2"/>
    <x v="0"/>
    <n v="2.4824000000000002"/>
  </r>
  <r>
    <n v="20"/>
    <s v="CA-2014-143336"/>
    <x v="9"/>
    <x v="9"/>
    <x v="0"/>
    <x v="9"/>
    <s v="Zuschuss Donatelli"/>
    <x v="0"/>
    <s v="United States"/>
    <s v="San Francisco"/>
    <s v="California"/>
    <n v="94109"/>
    <x v="1"/>
    <s v="TEC-PH-10001949"/>
    <x v="2"/>
    <s v="Phones"/>
    <s v="Cisco SPA 501G IP Phone"/>
    <n v="213.48"/>
    <n v="3"/>
    <x v="2"/>
    <n v="16.010999999999999"/>
  </r>
  <r>
    <n v="21"/>
    <s v="CA-2014-143336"/>
    <x v="9"/>
    <x v="9"/>
    <x v="0"/>
    <x v="9"/>
    <s v="Zuschuss Donatelli"/>
    <x v="0"/>
    <s v="United States"/>
    <s v="San Francisco"/>
    <s v="California"/>
    <n v="94109"/>
    <x v="1"/>
    <s v="OFF-BI-10002215"/>
    <x v="1"/>
    <s v="Binders"/>
    <s v="Wilson Jones Hanging View Binder, White, 1&quot;"/>
    <n v="22.72"/>
    <n v="4"/>
    <x v="2"/>
    <n v="7.3840000000000003"/>
  </r>
  <r>
    <n v="22"/>
    <s v="CA-2016-137330"/>
    <x v="10"/>
    <x v="10"/>
    <x v="1"/>
    <x v="10"/>
    <s v="Ken Black"/>
    <x v="1"/>
    <s v="United States"/>
    <s v="Fremont"/>
    <s v="Nebraska"/>
    <n v="68025"/>
    <x v="2"/>
    <s v="OFF-AR-10000246"/>
    <x v="1"/>
    <s v="Art"/>
    <s v="Newell 318"/>
    <n v="19.46"/>
    <n v="7"/>
    <x v="0"/>
    <n v="5.0595999999999997"/>
  </r>
  <r>
    <n v="23"/>
    <s v="CA-2016-137330"/>
    <x v="10"/>
    <x v="10"/>
    <x v="1"/>
    <x v="10"/>
    <s v="Ken Black"/>
    <x v="1"/>
    <s v="United States"/>
    <s v="Fremont"/>
    <s v="Nebraska"/>
    <n v="68025"/>
    <x v="2"/>
    <s v="OFF-AP-10001492"/>
    <x v="1"/>
    <s v="Appliances"/>
    <s v="Acco Six-Outlet Power Strip, 4' Cord Length"/>
    <n v="60.34"/>
    <n v="7"/>
    <x v="0"/>
    <n v="15.6884"/>
  </r>
  <r>
    <n v="24"/>
    <s v="US-2017-156909"/>
    <x v="11"/>
    <x v="11"/>
    <x v="0"/>
    <x v="11"/>
    <s v="Sandra Flanagan"/>
    <x v="0"/>
    <s v="United States"/>
    <s v="Philadelphia"/>
    <s v="Pennsylvania"/>
    <n v="19140"/>
    <x v="3"/>
    <s v="FUR-CH-10002774"/>
    <x v="0"/>
    <s v="Chairs"/>
    <s v="Global Deluxe Stacking Chair, Gray"/>
    <n v="71.372"/>
    <n v="2"/>
    <x v="4"/>
    <n v="-1.0196000000000001"/>
  </r>
  <r>
    <n v="25"/>
    <s v="CA-2015-106320"/>
    <x v="12"/>
    <x v="12"/>
    <x v="1"/>
    <x v="12"/>
    <s v="Emily Burns"/>
    <x v="0"/>
    <s v="United States"/>
    <s v="Orem"/>
    <s v="Utah"/>
    <n v="84057"/>
    <x v="1"/>
    <s v="FUR-TA-10000577"/>
    <x v="0"/>
    <s v="Tables"/>
    <s v="Bretford CR4500 Series Slim Rectangular Table"/>
    <n v="1044.6300000000001"/>
    <n v="3"/>
    <x v="0"/>
    <n v="240.26490000000001"/>
  </r>
  <r>
    <n v="26"/>
    <s v="CA-2016-121755"/>
    <x v="13"/>
    <x v="13"/>
    <x v="0"/>
    <x v="13"/>
    <s v="Eric Hoffmann"/>
    <x v="0"/>
    <s v="United States"/>
    <s v="Los Angeles"/>
    <s v="California"/>
    <n v="90049"/>
    <x v="1"/>
    <s v="OFF-BI-10001634"/>
    <x v="1"/>
    <s v="Binders"/>
    <s v="Wilson Jones Active Use Binders"/>
    <n v="11.648"/>
    <n v="2"/>
    <x v="2"/>
    <n v="4.2224000000000004"/>
  </r>
  <r>
    <n v="27"/>
    <s v="CA-2016-121755"/>
    <x v="13"/>
    <x v="13"/>
    <x v="0"/>
    <x v="13"/>
    <s v="Eric Hoffmann"/>
    <x v="0"/>
    <s v="United States"/>
    <s v="Los Angeles"/>
    <s v="California"/>
    <n v="90049"/>
    <x v="1"/>
    <s v="TEC-AC-10003027"/>
    <x v="2"/>
    <s v="Accessories"/>
    <s v="Imation 8GB Mini TravelDrive USB 2.0 Flash Drive"/>
    <n v="90.57"/>
    <n v="3"/>
    <x v="0"/>
    <n v="11.774100000000001"/>
  </r>
  <r>
    <n v="28"/>
    <s v="US-2015-150630"/>
    <x v="14"/>
    <x v="14"/>
    <x v="1"/>
    <x v="14"/>
    <s v="Tracy Blumstein"/>
    <x v="0"/>
    <s v="United States"/>
    <s v="Philadelphia"/>
    <s v="Pennsylvania"/>
    <n v="19140"/>
    <x v="3"/>
    <s v="FUR-BO-10004834"/>
    <x v="0"/>
    <s v="Bookcases"/>
    <s v="Riverside Palais Royal Lawyers Bookcase, Royale Cherry Finish"/>
    <n v="3083.43"/>
    <n v="7"/>
    <x v="5"/>
    <n v="-1665.0522000000001"/>
  </r>
  <r>
    <n v="29"/>
    <s v="US-2015-150630"/>
    <x v="14"/>
    <x v="14"/>
    <x v="1"/>
    <x v="14"/>
    <s v="Tracy Blumstein"/>
    <x v="0"/>
    <s v="United States"/>
    <s v="Philadelphia"/>
    <s v="Pennsylvania"/>
    <n v="19140"/>
    <x v="3"/>
    <s v="OFF-BI-10000474"/>
    <x v="1"/>
    <s v="Binders"/>
    <s v="Avery Recycled Flexi-View Covers for Binding Systems"/>
    <n v="9.6180000000000003"/>
    <n v="2"/>
    <x v="6"/>
    <n v="-7.0532000000000004"/>
  </r>
  <r>
    <n v="30"/>
    <s v="US-2015-150630"/>
    <x v="14"/>
    <x v="14"/>
    <x v="1"/>
    <x v="14"/>
    <s v="Tracy Blumstein"/>
    <x v="0"/>
    <s v="United States"/>
    <s v="Philadelphia"/>
    <s v="Pennsylvania"/>
    <n v="19140"/>
    <x v="3"/>
    <s v="FUR-FU-10004848"/>
    <x v="0"/>
    <s v="Furnishings"/>
    <s v="Howard Miller 13-3/4&quot; Diameter Brushed Chrome Round Wall Clock"/>
    <n v="124.2"/>
    <n v="3"/>
    <x v="2"/>
    <n v="15.525"/>
  </r>
  <r>
    <n v="31"/>
    <s v="US-2015-150630"/>
    <x v="14"/>
    <x v="14"/>
    <x v="1"/>
    <x v="14"/>
    <s v="Tracy Blumstein"/>
    <x v="0"/>
    <s v="United States"/>
    <s v="Philadelphia"/>
    <s v="Pennsylvania"/>
    <n v="19140"/>
    <x v="3"/>
    <s v="OFF-EN-10001509"/>
    <x v="1"/>
    <s v="Envelopes"/>
    <s v="Poly String Tie Envelopes"/>
    <n v="3.2639999999999998"/>
    <n v="2"/>
    <x v="2"/>
    <n v="1.1015999999999999"/>
  </r>
  <r>
    <n v="32"/>
    <s v="US-2015-150630"/>
    <x v="14"/>
    <x v="14"/>
    <x v="1"/>
    <x v="14"/>
    <s v="Tracy Blumstein"/>
    <x v="0"/>
    <s v="United States"/>
    <s v="Philadelphia"/>
    <s v="Pennsylvania"/>
    <n v="19140"/>
    <x v="3"/>
    <s v="OFF-AR-10004042"/>
    <x v="1"/>
    <s v="Art"/>
    <s v="BOSTON Model 1800 Electric Pencil Sharpeners, Putty/Woodgrain"/>
    <n v="86.304000000000002"/>
    <n v="6"/>
    <x v="2"/>
    <n v="9.7091999999999903"/>
  </r>
  <r>
    <n v="33"/>
    <s v="US-2015-150630"/>
    <x v="14"/>
    <x v="14"/>
    <x v="1"/>
    <x v="14"/>
    <s v="Tracy Blumstein"/>
    <x v="0"/>
    <s v="United States"/>
    <s v="Philadelphia"/>
    <s v="Pennsylvania"/>
    <n v="19140"/>
    <x v="3"/>
    <s v="OFF-BI-10001525"/>
    <x v="1"/>
    <s v="Binders"/>
    <s v="Acco Pressboard Covers with Storage Hooks, 14 7/8&quot; x 11&quot;, Executive Red"/>
    <n v="6.8579999999999997"/>
    <n v="6"/>
    <x v="6"/>
    <n v="-5.7149999999999999"/>
  </r>
  <r>
    <n v="34"/>
    <s v="US-2015-150630"/>
    <x v="14"/>
    <x v="14"/>
    <x v="1"/>
    <x v="14"/>
    <s v="Tracy Blumstein"/>
    <x v="0"/>
    <s v="United States"/>
    <s v="Philadelphia"/>
    <s v="Pennsylvania"/>
    <n v="19140"/>
    <x v="3"/>
    <s v="OFF-AR-10001683"/>
    <x v="1"/>
    <s v="Art"/>
    <s v="Lumber Crayons"/>
    <n v="15.76"/>
    <n v="2"/>
    <x v="2"/>
    <n v="3.5459999999999998"/>
  </r>
  <r>
    <n v="35"/>
    <s v="CA-2017-107727"/>
    <x v="15"/>
    <x v="15"/>
    <x v="0"/>
    <x v="15"/>
    <s v="Matt Abelman"/>
    <x v="2"/>
    <s v="United States"/>
    <s v="Houston"/>
    <s v="Texas"/>
    <n v="77095"/>
    <x v="2"/>
    <s v="OFF-PA-10000249"/>
    <x v="1"/>
    <s v="Paper"/>
    <s v="Easy-staple paper"/>
    <n v="29.472000000000001"/>
    <n v="3"/>
    <x v="2"/>
    <n v="9.9467999999999996"/>
  </r>
  <r>
    <n v="36"/>
    <s v="CA-2016-117590"/>
    <x v="16"/>
    <x v="5"/>
    <x v="2"/>
    <x v="16"/>
    <s v="Gene Hale"/>
    <x v="1"/>
    <s v="United States"/>
    <s v="Richardson"/>
    <s v="Texas"/>
    <n v="75080"/>
    <x v="2"/>
    <s v="TEC-PH-10004977"/>
    <x v="2"/>
    <s v="Phones"/>
    <s v="GE 30524EE4"/>
    <n v="1097.5440000000001"/>
    <n v="7"/>
    <x v="2"/>
    <n v="123.47369999999999"/>
  </r>
  <r>
    <n v="37"/>
    <s v="CA-2016-117590"/>
    <x v="16"/>
    <x v="5"/>
    <x v="2"/>
    <x v="16"/>
    <s v="Gene Hale"/>
    <x v="1"/>
    <s v="United States"/>
    <s v="Richardson"/>
    <s v="Texas"/>
    <n v="75080"/>
    <x v="2"/>
    <s v="FUR-FU-10003664"/>
    <x v="0"/>
    <s v="Furnishings"/>
    <s v="Electrix Architect's Clamp-On Swing Arm Lamp, Black"/>
    <n v="190.92"/>
    <n v="5"/>
    <x v="7"/>
    <n v="-147.96299999999999"/>
  </r>
  <r>
    <n v="38"/>
    <s v="CA-2015-117415"/>
    <x v="17"/>
    <x v="16"/>
    <x v="1"/>
    <x v="17"/>
    <s v="Steve Nguyen"/>
    <x v="2"/>
    <s v="United States"/>
    <s v="Houston"/>
    <s v="Texas"/>
    <n v="77041"/>
    <x v="2"/>
    <s v="OFF-EN-10002986"/>
    <x v="1"/>
    <s v="Envelopes"/>
    <s v="#10-4 1/8&quot; x 9 1/2&quot; Premium Diagonal Seam Envelopes"/>
    <n v="113.328"/>
    <n v="9"/>
    <x v="2"/>
    <n v="35.414999999999999"/>
  </r>
  <r>
    <n v="39"/>
    <s v="CA-2015-117415"/>
    <x v="17"/>
    <x v="16"/>
    <x v="1"/>
    <x v="17"/>
    <s v="Steve Nguyen"/>
    <x v="2"/>
    <s v="United States"/>
    <s v="Houston"/>
    <s v="Texas"/>
    <n v="77041"/>
    <x v="2"/>
    <s v="FUR-BO-10002545"/>
    <x v="0"/>
    <s v="Bookcases"/>
    <s v="Atlantic Metals Mobile 3-Shelf Bookcases, Custom Colors"/>
    <n v="532.39919999999995"/>
    <n v="3"/>
    <x v="8"/>
    <n v="-46.976399999999998"/>
  </r>
  <r>
    <n v="40"/>
    <s v="CA-2015-117415"/>
    <x v="17"/>
    <x v="16"/>
    <x v="1"/>
    <x v="17"/>
    <s v="Steve Nguyen"/>
    <x v="2"/>
    <s v="United States"/>
    <s v="Houston"/>
    <s v="Texas"/>
    <n v="77041"/>
    <x v="2"/>
    <s v="FUR-CH-10004218"/>
    <x v="0"/>
    <s v="Chairs"/>
    <s v="Global Fabric Manager's Chair, Dark Gray"/>
    <n v="212.05799999999999"/>
    <n v="3"/>
    <x v="4"/>
    <n v="-15.147"/>
  </r>
  <r>
    <n v="41"/>
    <s v="CA-2015-117415"/>
    <x v="17"/>
    <x v="16"/>
    <x v="1"/>
    <x v="17"/>
    <s v="Steve Nguyen"/>
    <x v="2"/>
    <s v="United States"/>
    <s v="Houston"/>
    <s v="Texas"/>
    <n v="77041"/>
    <x v="2"/>
    <s v="TEC-PH-10000486"/>
    <x v="2"/>
    <s v="Phones"/>
    <s v="Plantronics HL10 Handset Lifter"/>
    <n v="371.16800000000001"/>
    <n v="4"/>
    <x v="2"/>
    <n v="41.756399999999999"/>
  </r>
  <r>
    <n v="42"/>
    <s v="CA-2017-120999"/>
    <x v="18"/>
    <x v="17"/>
    <x v="1"/>
    <x v="18"/>
    <s v="Linda Cazamias"/>
    <x v="1"/>
    <s v="United States"/>
    <s v="Naperville"/>
    <s v="Illinois"/>
    <n v="60540"/>
    <x v="2"/>
    <s v="TEC-PH-10004093"/>
    <x v="2"/>
    <s v="Phones"/>
    <s v="Panasonic Kx-TS550"/>
    <n v="147.16800000000001"/>
    <n v="4"/>
    <x v="2"/>
    <n v="16.5564"/>
  </r>
  <r>
    <n v="43"/>
    <s v="CA-2016-101343"/>
    <x v="19"/>
    <x v="18"/>
    <x v="1"/>
    <x v="19"/>
    <s v="Ruben Ausman"/>
    <x v="1"/>
    <s v="United States"/>
    <s v="Los Angeles"/>
    <s v="California"/>
    <n v="90049"/>
    <x v="1"/>
    <s v="OFF-ST-10003479"/>
    <x v="1"/>
    <s v="Storage"/>
    <s v="Eldon Base for stackable storage shelf, platinum"/>
    <n v="77.88"/>
    <n v="2"/>
    <x v="0"/>
    <n v="3.8939999999999899"/>
  </r>
  <r>
    <n v="44"/>
    <s v="CA-2017-139619"/>
    <x v="20"/>
    <x v="19"/>
    <x v="1"/>
    <x v="20"/>
    <s v="Erin Smith"/>
    <x v="1"/>
    <s v="United States"/>
    <s v="Melbourne"/>
    <s v="Florida"/>
    <n v="32935"/>
    <x v="0"/>
    <s v="OFF-ST-10003282"/>
    <x v="1"/>
    <s v="Storage"/>
    <s v="Advantus 10-Drawer Portable Organizer, Chrome Metal Frame, Smoke Drawers"/>
    <n v="95.616"/>
    <n v="2"/>
    <x v="2"/>
    <n v="9.5616000000000092"/>
  </r>
  <r>
    <n v="45"/>
    <s v="CA-2016-118255"/>
    <x v="21"/>
    <x v="20"/>
    <x v="2"/>
    <x v="21"/>
    <s v="Odella Nelson"/>
    <x v="1"/>
    <s v="United States"/>
    <s v="Eagan"/>
    <s v="Minnesota"/>
    <n v="55122"/>
    <x v="2"/>
    <s v="TEC-AC-10000171"/>
    <x v="2"/>
    <s v="Accessories"/>
    <s v="Verbatim 25 GB 6x Blu-ray Single Layer Recordable Disc, 25/Pack"/>
    <n v="45.98"/>
    <n v="2"/>
    <x v="0"/>
    <n v="19.7714"/>
  </r>
  <r>
    <n v="46"/>
    <s v="CA-2016-118255"/>
    <x v="21"/>
    <x v="20"/>
    <x v="2"/>
    <x v="21"/>
    <s v="Odella Nelson"/>
    <x v="1"/>
    <s v="United States"/>
    <s v="Eagan"/>
    <s v="Minnesota"/>
    <n v="55122"/>
    <x v="2"/>
    <s v="OFF-BI-10003291"/>
    <x v="1"/>
    <s v="Binders"/>
    <s v="Wilson Jones Leather-Like Binders with DublLock Round Rings"/>
    <n v="17.46"/>
    <n v="2"/>
    <x v="0"/>
    <n v="8.2062000000000008"/>
  </r>
  <r>
    <n v="47"/>
    <s v="CA-2014-146703"/>
    <x v="22"/>
    <x v="21"/>
    <x v="0"/>
    <x v="22"/>
    <s v="Patrick O'Donnell"/>
    <x v="0"/>
    <s v="United States"/>
    <s v="Westland"/>
    <s v="Michigan"/>
    <n v="48185"/>
    <x v="2"/>
    <s v="OFF-ST-10001713"/>
    <x v="1"/>
    <s v="Storage"/>
    <s v="Gould Plastics 9-Pocket Panel Bin, 18-3/8w x 5-1/4d x 20-1/2h, Black"/>
    <n v="211.96"/>
    <n v="4"/>
    <x v="0"/>
    <n v="8.4783999999999899"/>
  </r>
  <r>
    <n v="48"/>
    <s v="CA-2016-169194"/>
    <x v="23"/>
    <x v="22"/>
    <x v="1"/>
    <x v="23"/>
    <s v="Lena Hernandez"/>
    <x v="0"/>
    <s v="United States"/>
    <s v="Dover"/>
    <s v="Delaware"/>
    <n v="19901"/>
    <x v="3"/>
    <s v="TEC-AC-10002167"/>
    <x v="2"/>
    <s v="Accessories"/>
    <s v="Imation 8gb Micro Traveldrive Usb 2.0 Flash Drive"/>
    <n v="45"/>
    <n v="3"/>
    <x v="0"/>
    <n v="4.95"/>
  </r>
  <r>
    <n v="49"/>
    <s v="CA-2016-169194"/>
    <x v="23"/>
    <x v="22"/>
    <x v="1"/>
    <x v="23"/>
    <s v="Lena Hernandez"/>
    <x v="0"/>
    <s v="United States"/>
    <s v="Dover"/>
    <s v="Delaware"/>
    <n v="19901"/>
    <x v="3"/>
    <s v="TEC-PH-10003988"/>
    <x v="2"/>
    <s v="Phones"/>
    <s v="LF Elite 3D Dazzle Designer Hard Case Cover, Lf Stylus Pen and Wiper For Apple Iphone 5c Mini Lite"/>
    <n v="21.8"/>
    <n v="2"/>
    <x v="0"/>
    <n v="6.1040000000000001"/>
  </r>
  <r>
    <n v="50"/>
    <s v="CA-2015-115742"/>
    <x v="24"/>
    <x v="23"/>
    <x v="1"/>
    <x v="24"/>
    <s v="Darren Powers"/>
    <x v="0"/>
    <s v="United States"/>
    <s v="New Albany"/>
    <s v="Indiana"/>
    <n v="47150"/>
    <x v="2"/>
    <s v="OFF-BI-10004410"/>
    <x v="1"/>
    <s v="Binders"/>
    <s v="C-Line Peel &amp; Stick Add-On Filing Pockets, 8-3/4 x 5-1/8, 10/Pack"/>
    <n v="38.22"/>
    <n v="6"/>
    <x v="0"/>
    <n v="17.9634"/>
  </r>
  <r>
    <n v="51"/>
    <s v="CA-2015-115742"/>
    <x v="24"/>
    <x v="23"/>
    <x v="1"/>
    <x v="24"/>
    <s v="Darren Powers"/>
    <x v="0"/>
    <s v="United States"/>
    <s v="New Albany"/>
    <s v="Indiana"/>
    <n v="47150"/>
    <x v="2"/>
    <s v="OFF-LA-10002762"/>
    <x v="1"/>
    <s v="Labels"/>
    <s v="Avery 485"/>
    <n v="75.180000000000007"/>
    <n v="6"/>
    <x v="0"/>
    <n v="35.334600000000002"/>
  </r>
  <r>
    <n v="52"/>
    <s v="CA-2015-115742"/>
    <x v="24"/>
    <x v="23"/>
    <x v="1"/>
    <x v="24"/>
    <s v="Darren Powers"/>
    <x v="0"/>
    <s v="United States"/>
    <s v="New Albany"/>
    <s v="Indiana"/>
    <n v="47150"/>
    <x v="2"/>
    <s v="FUR-FU-10001706"/>
    <x v="0"/>
    <s v="Furnishings"/>
    <s v="Longer-Life Soft White Bulbs"/>
    <n v="6.16"/>
    <n v="2"/>
    <x v="0"/>
    <n v="2.9567999999999999"/>
  </r>
  <r>
    <n v="53"/>
    <s v="CA-2015-115742"/>
    <x v="24"/>
    <x v="23"/>
    <x v="1"/>
    <x v="24"/>
    <s v="Darren Powers"/>
    <x v="0"/>
    <s v="United States"/>
    <s v="New Albany"/>
    <s v="Indiana"/>
    <n v="47150"/>
    <x v="2"/>
    <s v="FUR-CH-10003061"/>
    <x v="0"/>
    <s v="Chairs"/>
    <s v="Global Leather Task Chair, Black"/>
    <n v="89.99"/>
    <n v="1"/>
    <x v="0"/>
    <n v="17.098099999999999"/>
  </r>
  <r>
    <n v="54"/>
    <s v="CA-2016-105816"/>
    <x v="25"/>
    <x v="24"/>
    <x v="1"/>
    <x v="25"/>
    <s v="Janet Molinari"/>
    <x v="1"/>
    <s v="United States"/>
    <s v="New York City"/>
    <s v="New York"/>
    <n v="10024"/>
    <x v="3"/>
    <s v="OFF-FA-10000304"/>
    <x v="1"/>
    <s v="Fasteners"/>
    <s v="Advantus Push Pins"/>
    <n v="15.26"/>
    <n v="7"/>
    <x v="0"/>
    <n v="6.2565999999999997"/>
  </r>
  <r>
    <n v="55"/>
    <s v="CA-2016-105816"/>
    <x v="25"/>
    <x v="24"/>
    <x v="1"/>
    <x v="25"/>
    <s v="Janet Molinari"/>
    <x v="1"/>
    <s v="United States"/>
    <s v="New York City"/>
    <s v="New York"/>
    <n v="10024"/>
    <x v="3"/>
    <s v="TEC-PH-10002447"/>
    <x v="2"/>
    <s v="Phones"/>
    <s v="AT&amp;T CL83451 4-Handset Telephone"/>
    <n v="1029.95"/>
    <n v="5"/>
    <x v="0"/>
    <n v="298.68549999999999"/>
  </r>
  <r>
    <n v="56"/>
    <s v="CA-2016-111682"/>
    <x v="26"/>
    <x v="25"/>
    <x v="2"/>
    <x v="26"/>
    <s v="Ted Butterfield"/>
    <x v="0"/>
    <s v="United States"/>
    <s v="Troy"/>
    <s v="New York"/>
    <n v="12180"/>
    <x v="3"/>
    <s v="OFF-ST-10000604"/>
    <x v="1"/>
    <s v="Storage"/>
    <s v="Home/Office Personal File Carts"/>
    <n v="208.56"/>
    <n v="6"/>
    <x v="0"/>
    <n v="52.14"/>
  </r>
  <r>
    <n v="57"/>
    <s v="CA-2016-111682"/>
    <x v="26"/>
    <x v="25"/>
    <x v="2"/>
    <x v="26"/>
    <s v="Ted Butterfield"/>
    <x v="0"/>
    <s v="United States"/>
    <s v="Troy"/>
    <s v="New York"/>
    <n v="12180"/>
    <x v="3"/>
    <s v="OFF-PA-10001569"/>
    <x v="1"/>
    <s v="Paper"/>
    <s v="Xerox 232"/>
    <n v="32.4"/>
    <n v="5"/>
    <x v="0"/>
    <n v="15.552"/>
  </r>
  <r>
    <n v="58"/>
    <s v="CA-2016-111682"/>
    <x v="26"/>
    <x v="25"/>
    <x v="2"/>
    <x v="26"/>
    <s v="Ted Butterfield"/>
    <x v="0"/>
    <s v="United States"/>
    <s v="Troy"/>
    <s v="New York"/>
    <n v="12180"/>
    <x v="3"/>
    <s v="FUR-CH-10003968"/>
    <x v="0"/>
    <s v="Chairs"/>
    <s v="Novimex Turbo Task Chair"/>
    <n v="319.41000000000003"/>
    <n v="5"/>
    <x v="9"/>
    <n v="7.0980000000000096"/>
  </r>
  <r>
    <n v="59"/>
    <s v="CA-2016-111682"/>
    <x v="26"/>
    <x v="25"/>
    <x v="2"/>
    <x v="26"/>
    <s v="Ted Butterfield"/>
    <x v="0"/>
    <s v="United States"/>
    <s v="Troy"/>
    <s v="New York"/>
    <n v="12180"/>
    <x v="3"/>
    <s v="OFF-PA-10000587"/>
    <x v="1"/>
    <s v="Paper"/>
    <s v="Array Parchment Paper, Assorted Colors"/>
    <n v="14.56"/>
    <n v="2"/>
    <x v="0"/>
    <n v="6.9888000000000003"/>
  </r>
  <r>
    <n v="60"/>
    <s v="CA-2016-111682"/>
    <x v="26"/>
    <x v="25"/>
    <x v="2"/>
    <x v="26"/>
    <s v="Ted Butterfield"/>
    <x v="0"/>
    <s v="United States"/>
    <s v="Troy"/>
    <s v="New York"/>
    <n v="12180"/>
    <x v="3"/>
    <s v="TEC-AC-10002167"/>
    <x v="2"/>
    <s v="Accessories"/>
    <s v="Imation 8gb Micro Traveldrive Usb 2.0 Flash Drive"/>
    <n v="30"/>
    <n v="2"/>
    <x v="0"/>
    <n v="3.3"/>
  </r>
  <r>
    <n v="61"/>
    <s v="CA-2016-111682"/>
    <x v="26"/>
    <x v="25"/>
    <x v="2"/>
    <x v="26"/>
    <s v="Ted Butterfield"/>
    <x v="0"/>
    <s v="United States"/>
    <s v="Troy"/>
    <s v="New York"/>
    <n v="12180"/>
    <x v="3"/>
    <s v="OFF-BI-10001460"/>
    <x v="1"/>
    <s v="Binders"/>
    <s v="Plastic Binding Combs"/>
    <n v="48.48"/>
    <n v="4"/>
    <x v="2"/>
    <n v="16.361999999999998"/>
  </r>
  <r>
    <n v="62"/>
    <s v="CA-2016-111682"/>
    <x v="26"/>
    <x v="25"/>
    <x v="2"/>
    <x v="26"/>
    <s v="Ted Butterfield"/>
    <x v="0"/>
    <s v="United States"/>
    <s v="Troy"/>
    <s v="New York"/>
    <n v="12180"/>
    <x v="3"/>
    <s v="OFF-AR-10001868"/>
    <x v="1"/>
    <s v="Art"/>
    <s v="Prang Dustless Chalk Sticks"/>
    <n v="1.68"/>
    <n v="1"/>
    <x v="0"/>
    <n v="0.84"/>
  </r>
  <r>
    <n v="63"/>
    <s v="CA-2015-135545"/>
    <x v="27"/>
    <x v="26"/>
    <x v="1"/>
    <x v="27"/>
    <s v="Kunst Miller"/>
    <x v="0"/>
    <s v="United States"/>
    <s v="Los Angeles"/>
    <s v="California"/>
    <n v="90004"/>
    <x v="1"/>
    <s v="TEC-AC-10004633"/>
    <x v="2"/>
    <s v="Accessories"/>
    <s v="Verbatim 25 GB 6x Blu-ray Single Layer Recordable Disc, 3/Pack"/>
    <n v="13.98"/>
    <n v="2"/>
    <x v="0"/>
    <n v="6.1512000000000002"/>
  </r>
  <r>
    <n v="64"/>
    <s v="CA-2015-135545"/>
    <x v="27"/>
    <x v="26"/>
    <x v="1"/>
    <x v="27"/>
    <s v="Kunst Miller"/>
    <x v="0"/>
    <s v="United States"/>
    <s v="Los Angeles"/>
    <s v="California"/>
    <n v="90004"/>
    <x v="1"/>
    <s v="OFF-BI-10001078"/>
    <x v="1"/>
    <s v="Binders"/>
    <s v="Acco PRESSTEX Data Binder with Storage Hooks, Dark Blue, 14 7/8&quot; X 11&quot;"/>
    <n v="25.824000000000002"/>
    <n v="6"/>
    <x v="2"/>
    <n v="9.3612000000000002"/>
  </r>
  <r>
    <n v="65"/>
    <s v="CA-2015-135545"/>
    <x v="27"/>
    <x v="26"/>
    <x v="1"/>
    <x v="27"/>
    <s v="Kunst Miller"/>
    <x v="0"/>
    <s v="United States"/>
    <s v="Los Angeles"/>
    <s v="California"/>
    <n v="90004"/>
    <x v="1"/>
    <s v="OFF-PA-10003892"/>
    <x v="1"/>
    <s v="Paper"/>
    <s v="Xerox 1943"/>
    <n v="146.72999999999999"/>
    <n v="3"/>
    <x v="0"/>
    <n v="68.963099999999997"/>
  </r>
  <r>
    <n v="66"/>
    <s v="CA-2015-135545"/>
    <x v="27"/>
    <x v="26"/>
    <x v="1"/>
    <x v="27"/>
    <s v="Kunst Miller"/>
    <x v="0"/>
    <s v="United States"/>
    <s v="Los Angeles"/>
    <s v="California"/>
    <n v="90004"/>
    <x v="1"/>
    <s v="FUR-FU-10000397"/>
    <x v="0"/>
    <s v="Furnishings"/>
    <s v="Luxo Economy Swing Arm Lamp"/>
    <n v="79.760000000000005"/>
    <n v="4"/>
    <x v="0"/>
    <n v="22.332799999999999"/>
  </r>
  <r>
    <n v="67"/>
    <s v="US-2015-164175"/>
    <x v="28"/>
    <x v="27"/>
    <x v="1"/>
    <x v="28"/>
    <s v="Paul Stevenson"/>
    <x v="2"/>
    <s v="United States"/>
    <s v="Chicago"/>
    <s v="Illinois"/>
    <n v="60610"/>
    <x v="2"/>
    <s v="FUR-CH-10001146"/>
    <x v="0"/>
    <s v="Chairs"/>
    <s v="Global Value Mid-Back Manager's Chair, Gray"/>
    <n v="213.11500000000001"/>
    <n v="5"/>
    <x v="4"/>
    <n v="-15.2225"/>
  </r>
  <r>
    <n v="68"/>
    <s v="CA-2014-106376"/>
    <x v="29"/>
    <x v="28"/>
    <x v="1"/>
    <x v="29"/>
    <s v="Brendan Sweed"/>
    <x v="1"/>
    <s v="United States"/>
    <s v="Gilbert"/>
    <s v="Arizona"/>
    <n v="85234"/>
    <x v="1"/>
    <s v="OFF-AR-10002671"/>
    <x v="1"/>
    <s v="Art"/>
    <s v="Hunt BOSTON Model 1606 High-Volume Electric Pencil Sharpener, Beige"/>
    <n v="1113.0239999999999"/>
    <n v="8"/>
    <x v="2"/>
    <n v="111.30240000000001"/>
  </r>
  <r>
    <n v="69"/>
    <s v="CA-2014-106376"/>
    <x v="29"/>
    <x v="28"/>
    <x v="1"/>
    <x v="29"/>
    <s v="Brendan Sweed"/>
    <x v="1"/>
    <s v="United States"/>
    <s v="Gilbert"/>
    <s v="Arizona"/>
    <n v="85234"/>
    <x v="1"/>
    <s v="TEC-PH-10002726"/>
    <x v="2"/>
    <s v="Phones"/>
    <s v="netTALK DUO VoIP Telephone Service"/>
    <n v="167.96799999999999"/>
    <n v="4"/>
    <x v="2"/>
    <n v="62.988"/>
  </r>
  <r>
    <n v="70"/>
    <s v="CA-2016-119823"/>
    <x v="30"/>
    <x v="29"/>
    <x v="2"/>
    <x v="30"/>
    <s v="Karen Daniels"/>
    <x v="0"/>
    <s v="United States"/>
    <s v="Springfield"/>
    <s v="Virginia"/>
    <n v="22153"/>
    <x v="0"/>
    <s v="OFF-PA-10000482"/>
    <x v="1"/>
    <s v="Paper"/>
    <s v="Snap-A-Way Black Print Carbonless Ruled Speed Letter, Triplicate"/>
    <n v="75.88"/>
    <n v="2"/>
    <x v="0"/>
    <n v="35.663600000000002"/>
  </r>
  <r>
    <n v="71"/>
    <s v="CA-2016-106075"/>
    <x v="31"/>
    <x v="30"/>
    <x v="1"/>
    <x v="31"/>
    <s v="Henry MacAllister"/>
    <x v="0"/>
    <s v="United States"/>
    <s v="New York City"/>
    <s v="New York"/>
    <n v="10009"/>
    <x v="3"/>
    <s v="OFF-BI-10004654"/>
    <x v="1"/>
    <s v="Binders"/>
    <s v="Avery Binding System Hidden Tab Executive Style Index Sets"/>
    <n v="4.6159999999999997"/>
    <n v="1"/>
    <x v="2"/>
    <n v="1.7310000000000001"/>
  </r>
  <r>
    <n v="72"/>
    <s v="CA-2017-114440"/>
    <x v="32"/>
    <x v="31"/>
    <x v="0"/>
    <x v="14"/>
    <s v="Tracy Blumstein"/>
    <x v="0"/>
    <s v="United States"/>
    <s v="Jackson"/>
    <s v="Michigan"/>
    <n v="49201"/>
    <x v="2"/>
    <s v="OFF-PA-10004675"/>
    <x v="1"/>
    <s v="Paper"/>
    <s v="Telephone Message Books with Fax/Mobile Section, 5 1/2&quot; x 3 3/16&quot;"/>
    <n v="19.05"/>
    <n v="3"/>
    <x v="0"/>
    <n v="8.7629999999999999"/>
  </r>
  <r>
    <n v="73"/>
    <s v="US-2015-134026"/>
    <x v="33"/>
    <x v="32"/>
    <x v="1"/>
    <x v="32"/>
    <s v="Joel Eaton"/>
    <x v="0"/>
    <s v="United States"/>
    <s v="Memphis"/>
    <s v="Tennessee"/>
    <n v="38109"/>
    <x v="0"/>
    <s v="FUR-CH-10000513"/>
    <x v="0"/>
    <s v="Chairs"/>
    <s v="High-Back Leather Manager's Chair"/>
    <n v="831.93600000000004"/>
    <n v="8"/>
    <x v="2"/>
    <n v="-114.3912"/>
  </r>
  <r>
    <n v="74"/>
    <s v="US-2015-134026"/>
    <x v="33"/>
    <x v="32"/>
    <x v="1"/>
    <x v="32"/>
    <s v="Joel Eaton"/>
    <x v="0"/>
    <s v="United States"/>
    <s v="Memphis"/>
    <s v="Tennessee"/>
    <n v="38109"/>
    <x v="0"/>
    <s v="FUR-FU-10003708"/>
    <x v="0"/>
    <s v="Furnishings"/>
    <s v="Tenex Traditional Chairmats for Medium Pile Carpet, Standard Lip, 36&quot; x 48&quot;"/>
    <n v="97.04"/>
    <n v="2"/>
    <x v="2"/>
    <n v="1.2130000000000001"/>
  </r>
  <r>
    <n v="75"/>
    <s v="US-2015-134026"/>
    <x v="33"/>
    <x v="32"/>
    <x v="1"/>
    <x v="32"/>
    <s v="Joel Eaton"/>
    <x v="0"/>
    <s v="United States"/>
    <s v="Memphis"/>
    <s v="Tennessee"/>
    <n v="38109"/>
    <x v="0"/>
    <s v="OFF-ST-10004123"/>
    <x v="1"/>
    <s v="Storage"/>
    <s v="Safco Industrial Wire Shelving System"/>
    <n v="72.784000000000006"/>
    <n v="1"/>
    <x v="2"/>
    <n v="-18.196000000000002"/>
  </r>
  <r>
    <n v="76"/>
    <s v="US-2017-118038"/>
    <x v="34"/>
    <x v="33"/>
    <x v="2"/>
    <x v="33"/>
    <s v="Ken Brennan"/>
    <x v="1"/>
    <s v="United States"/>
    <s v="Houston"/>
    <s v="Texas"/>
    <n v="77041"/>
    <x v="2"/>
    <s v="OFF-BI-10004182"/>
    <x v="1"/>
    <s v="Binders"/>
    <s v="Economy Binders"/>
    <n v="1.248"/>
    <n v="3"/>
    <x v="3"/>
    <n v="-1.9343999999999999"/>
  </r>
  <r>
    <n v="77"/>
    <s v="US-2017-118038"/>
    <x v="34"/>
    <x v="33"/>
    <x v="2"/>
    <x v="33"/>
    <s v="Ken Brennan"/>
    <x v="1"/>
    <s v="United States"/>
    <s v="Houston"/>
    <s v="Texas"/>
    <n v="77041"/>
    <x v="2"/>
    <s v="FUR-FU-10000260"/>
    <x v="0"/>
    <s v="Furnishings"/>
    <s v="6&quot; Cubicle Wall Clock, Black"/>
    <n v="9.7080000000000002"/>
    <n v="3"/>
    <x v="7"/>
    <n v="-5.8247999999999998"/>
  </r>
  <r>
    <n v="78"/>
    <s v="US-2017-118038"/>
    <x v="34"/>
    <x v="33"/>
    <x v="2"/>
    <x v="33"/>
    <s v="Ken Brennan"/>
    <x v="1"/>
    <s v="United States"/>
    <s v="Houston"/>
    <s v="Texas"/>
    <n v="77041"/>
    <x v="2"/>
    <s v="OFF-ST-10000615"/>
    <x v="1"/>
    <s v="Storage"/>
    <s v="SimpliFile Personal File, Black Granite, 15w x 6-15/16d x 11-1/4h"/>
    <n v="27.24"/>
    <n v="3"/>
    <x v="2"/>
    <n v="2.7240000000000002"/>
  </r>
  <r>
    <n v="79"/>
    <s v="US-2014-147606"/>
    <x v="35"/>
    <x v="34"/>
    <x v="0"/>
    <x v="32"/>
    <s v="Joel Eaton"/>
    <x v="0"/>
    <s v="United States"/>
    <s v="Houston"/>
    <s v="Texas"/>
    <n v="77070"/>
    <x v="2"/>
    <s v="FUR-FU-10003194"/>
    <x v="0"/>
    <s v="Furnishings"/>
    <s v="Eldon Expressions Desk Accessory, Wood Pencil Holder, Oak"/>
    <n v="19.3"/>
    <n v="5"/>
    <x v="7"/>
    <n v="-14.475"/>
  </r>
  <r>
    <n v="80"/>
    <s v="CA-2016-127208"/>
    <x v="1"/>
    <x v="35"/>
    <x v="2"/>
    <x v="34"/>
    <s v="Stewart Carmichael"/>
    <x v="1"/>
    <s v="United States"/>
    <s v="Decatur"/>
    <s v="Alabama"/>
    <n v="35601"/>
    <x v="0"/>
    <s v="OFF-AP-10002118"/>
    <x v="1"/>
    <s v="Appliances"/>
    <s v="1.7 Cubic Foot Compact &quot;Cube&quot; Office Refrigerators"/>
    <n v="208.16"/>
    <n v="1"/>
    <x v="0"/>
    <n v="56.203200000000002"/>
  </r>
  <r>
    <n v="81"/>
    <s v="CA-2016-127208"/>
    <x v="1"/>
    <x v="35"/>
    <x v="2"/>
    <x v="34"/>
    <s v="Stewart Carmichael"/>
    <x v="1"/>
    <s v="United States"/>
    <s v="Decatur"/>
    <s v="Alabama"/>
    <n v="35601"/>
    <x v="0"/>
    <s v="OFF-BI-10002309"/>
    <x v="1"/>
    <s v="Binders"/>
    <s v="Avery Heavy-Duty EZD  Binder With Locking Rings"/>
    <n v="16.739999999999998"/>
    <n v="3"/>
    <x v="0"/>
    <n v="8.0351999999999997"/>
  </r>
  <r>
    <n v="82"/>
    <s v="CA-2014-139451"/>
    <x v="36"/>
    <x v="36"/>
    <x v="1"/>
    <x v="35"/>
    <s v="Duane Noonan"/>
    <x v="0"/>
    <s v="United States"/>
    <s v="San Francisco"/>
    <s v="California"/>
    <n v="94122"/>
    <x v="1"/>
    <s v="OFF-AR-10002053"/>
    <x v="1"/>
    <s v="Art"/>
    <s v="Premium Writing Pencils, Soft, #2 by Central Association for the Blind"/>
    <n v="14.9"/>
    <n v="5"/>
    <x v="0"/>
    <n v="4.1719999999999997"/>
  </r>
  <r>
    <n v="83"/>
    <s v="CA-2014-139451"/>
    <x v="36"/>
    <x v="36"/>
    <x v="1"/>
    <x v="35"/>
    <s v="Duane Noonan"/>
    <x v="0"/>
    <s v="United States"/>
    <s v="San Francisco"/>
    <s v="California"/>
    <n v="94122"/>
    <x v="1"/>
    <s v="OFF-ST-10002370"/>
    <x v="1"/>
    <s v="Storage"/>
    <s v="Sortfiler Multipurpose Personal File Organizer, Black"/>
    <n v="21.39"/>
    <n v="1"/>
    <x v="0"/>
    <n v="6.2031000000000001"/>
  </r>
  <r>
    <n v="84"/>
    <s v="CA-2015-149734"/>
    <x v="37"/>
    <x v="37"/>
    <x v="1"/>
    <x v="36"/>
    <s v="Julie Creighton"/>
    <x v="1"/>
    <s v="United States"/>
    <s v="Durham"/>
    <s v="North Carolina"/>
    <n v="27707"/>
    <x v="0"/>
    <s v="OFF-EN-10000927"/>
    <x v="1"/>
    <s v="Envelopes"/>
    <s v="Jet-Pak Recycled Peel 'N' Seal Padded Mailers"/>
    <n v="200.98400000000001"/>
    <n v="7"/>
    <x v="2"/>
    <n v="62.807499999999997"/>
  </r>
  <r>
    <n v="85"/>
    <s v="US-2017-119662"/>
    <x v="38"/>
    <x v="38"/>
    <x v="2"/>
    <x v="37"/>
    <s v="Christopher Schild"/>
    <x v="2"/>
    <s v="United States"/>
    <s v="Chicago"/>
    <s v="Illinois"/>
    <n v="60623"/>
    <x v="2"/>
    <s v="OFF-ST-10003656"/>
    <x v="1"/>
    <s v="Storage"/>
    <s v="Safco Industrial Wire Shelving"/>
    <n v="230.376"/>
    <n v="3"/>
    <x v="2"/>
    <n v="-48.954900000000002"/>
  </r>
  <r>
    <n v="86"/>
    <s v="CA-2017-140088"/>
    <x v="39"/>
    <x v="39"/>
    <x v="0"/>
    <x v="22"/>
    <s v="Patrick O'Donnell"/>
    <x v="0"/>
    <s v="United States"/>
    <s v="Columbia"/>
    <s v="South Carolina"/>
    <n v="29203"/>
    <x v="0"/>
    <s v="FUR-CH-10000863"/>
    <x v="0"/>
    <s v="Chairs"/>
    <s v="Novimex Swivel Fabric Task Chair"/>
    <n v="301.95999999999998"/>
    <n v="2"/>
    <x v="0"/>
    <n v="33.215600000000002"/>
  </r>
  <r>
    <n v="87"/>
    <s v="CA-2017-155558"/>
    <x v="40"/>
    <x v="40"/>
    <x v="1"/>
    <x v="38"/>
    <s v="Paul Gonzalez"/>
    <x v="0"/>
    <s v="United States"/>
    <s v="Rochester"/>
    <s v="Minnesota"/>
    <n v="55901"/>
    <x v="2"/>
    <s v="TEC-AC-10001998"/>
    <x v="2"/>
    <s v="Accessories"/>
    <s v="Logitech LS21 Speaker System - PC Multimedia - 2.1-CH - Wired"/>
    <n v="19.989999999999998"/>
    <n v="1"/>
    <x v="0"/>
    <n v="6.7965999999999998"/>
  </r>
  <r>
    <n v="88"/>
    <s v="CA-2017-155558"/>
    <x v="40"/>
    <x v="40"/>
    <x v="1"/>
    <x v="38"/>
    <s v="Paul Gonzalez"/>
    <x v="0"/>
    <s v="United States"/>
    <s v="Rochester"/>
    <s v="Minnesota"/>
    <n v="55901"/>
    <x v="2"/>
    <s v="OFF-LA-10000134"/>
    <x v="1"/>
    <s v="Labels"/>
    <s v="Avery 511"/>
    <n v="6.16"/>
    <n v="2"/>
    <x v="0"/>
    <n v="2.9567999999999999"/>
  </r>
  <r>
    <n v="89"/>
    <s v="CA-2016-159695"/>
    <x v="41"/>
    <x v="41"/>
    <x v="0"/>
    <x v="39"/>
    <s v="Gary Mitchum"/>
    <x v="2"/>
    <s v="United States"/>
    <s v="Houston"/>
    <s v="Texas"/>
    <n v="77095"/>
    <x v="2"/>
    <s v="OFF-ST-10003442"/>
    <x v="1"/>
    <s v="Storage"/>
    <s v="Eldon Portable Mobile Manager"/>
    <n v="158.36799999999999"/>
    <n v="7"/>
    <x v="2"/>
    <n v="13.857200000000001"/>
  </r>
  <r>
    <n v="90"/>
    <s v="CA-2016-109806"/>
    <x v="42"/>
    <x v="42"/>
    <x v="1"/>
    <x v="40"/>
    <s v="Jim Sink"/>
    <x v="1"/>
    <s v="United States"/>
    <s v="Los Angeles"/>
    <s v="California"/>
    <n v="90036"/>
    <x v="1"/>
    <s v="OFF-AR-10004930"/>
    <x v="1"/>
    <s v="Art"/>
    <s v="Turquoise Lead Holder with Pocket Clip"/>
    <n v="20.100000000000001"/>
    <n v="3"/>
    <x v="0"/>
    <n v="6.633"/>
  </r>
  <r>
    <n v="91"/>
    <s v="CA-2016-109806"/>
    <x v="42"/>
    <x v="42"/>
    <x v="1"/>
    <x v="40"/>
    <s v="Jim Sink"/>
    <x v="1"/>
    <s v="United States"/>
    <s v="Los Angeles"/>
    <s v="California"/>
    <n v="90036"/>
    <x v="1"/>
    <s v="TEC-PH-10004093"/>
    <x v="2"/>
    <s v="Phones"/>
    <s v="Panasonic Kx-TS550"/>
    <n v="73.584000000000003"/>
    <n v="2"/>
    <x v="2"/>
    <n v="8.2782"/>
  </r>
  <r>
    <n v="92"/>
    <s v="CA-2016-109806"/>
    <x v="42"/>
    <x v="42"/>
    <x v="1"/>
    <x v="40"/>
    <s v="Jim Sink"/>
    <x v="1"/>
    <s v="United States"/>
    <s v="Los Angeles"/>
    <s v="California"/>
    <n v="90036"/>
    <x v="1"/>
    <s v="OFF-PA-10000304"/>
    <x v="1"/>
    <s v="Paper"/>
    <s v="Xerox 1995"/>
    <n v="6.48"/>
    <n v="1"/>
    <x v="0"/>
    <n v="3.1103999999999998"/>
  </r>
  <r>
    <n v="93"/>
    <s v="CA-2015-149587"/>
    <x v="43"/>
    <x v="43"/>
    <x v="0"/>
    <x v="41"/>
    <s v="Karl Braun"/>
    <x v="0"/>
    <s v="United States"/>
    <s v="Minneapolis"/>
    <s v="Minnesota"/>
    <n v="55407"/>
    <x v="2"/>
    <s v="OFF-PA-10003177"/>
    <x v="1"/>
    <s v="Paper"/>
    <s v="Xerox 1999"/>
    <n v="12.96"/>
    <n v="2"/>
    <x v="0"/>
    <n v="6.2207999999999997"/>
  </r>
  <r>
    <n v="94"/>
    <s v="CA-2015-149587"/>
    <x v="43"/>
    <x v="43"/>
    <x v="0"/>
    <x v="41"/>
    <s v="Karl Braun"/>
    <x v="0"/>
    <s v="United States"/>
    <s v="Minneapolis"/>
    <s v="Minnesota"/>
    <n v="55407"/>
    <x v="2"/>
    <s v="FUR-FU-10003799"/>
    <x v="0"/>
    <s v="Furnishings"/>
    <s v="Seth Thomas 13 1/2&quot; Wall Clock"/>
    <n v="53.34"/>
    <n v="3"/>
    <x v="0"/>
    <n v="16.535399999999999"/>
  </r>
  <r>
    <n v="95"/>
    <s v="CA-2015-149587"/>
    <x v="43"/>
    <x v="43"/>
    <x v="0"/>
    <x v="41"/>
    <s v="Karl Braun"/>
    <x v="0"/>
    <s v="United States"/>
    <s v="Minneapolis"/>
    <s v="Minnesota"/>
    <n v="55407"/>
    <x v="2"/>
    <s v="OFF-BI-10002852"/>
    <x v="1"/>
    <s v="Binders"/>
    <s v="Ibico Standard Transparent Covers"/>
    <n v="32.96"/>
    <n v="2"/>
    <x v="0"/>
    <n v="16.150400000000001"/>
  </r>
  <r>
    <n v="96"/>
    <s v="US-2017-109484"/>
    <x v="44"/>
    <x v="44"/>
    <x v="1"/>
    <x v="42"/>
    <s v="Roger Barcio"/>
    <x v="2"/>
    <s v="United States"/>
    <s v="Portland"/>
    <s v="Oregon"/>
    <n v="97206"/>
    <x v="1"/>
    <s v="OFF-BI-10004738"/>
    <x v="1"/>
    <s v="Binders"/>
    <s v="Flexible Leather- Look Classic Collection Ring Binder"/>
    <n v="5.6820000000000004"/>
    <n v="1"/>
    <x v="6"/>
    <n v="-3.7879999999999998"/>
  </r>
  <r>
    <n v="97"/>
    <s v="CA-2017-161018"/>
    <x v="45"/>
    <x v="45"/>
    <x v="0"/>
    <x v="43"/>
    <s v="Parhena Norris"/>
    <x v="2"/>
    <s v="United States"/>
    <s v="New York City"/>
    <s v="New York"/>
    <n v="10009"/>
    <x v="3"/>
    <s v="FUR-FU-10000629"/>
    <x v="0"/>
    <s v="Furnishings"/>
    <s v="9-3/4 Diameter Round Wall Clock"/>
    <n v="96.53"/>
    <n v="7"/>
    <x v="0"/>
    <n v="40.5426"/>
  </r>
  <r>
    <n v="98"/>
    <s v="CA-2017-157833"/>
    <x v="46"/>
    <x v="46"/>
    <x v="2"/>
    <x v="44"/>
    <s v="Katherine Ducich"/>
    <x v="0"/>
    <s v="United States"/>
    <s v="San Francisco"/>
    <s v="California"/>
    <n v="94122"/>
    <x v="1"/>
    <s v="OFF-BI-10001721"/>
    <x v="1"/>
    <s v="Binders"/>
    <s v="Trimflex Flexible Post Binders"/>
    <n v="51.311999999999998"/>
    <n v="3"/>
    <x v="2"/>
    <n v="17.959199999999999"/>
  </r>
  <r>
    <n v="99"/>
    <s v="CA-2016-149223"/>
    <x v="47"/>
    <x v="47"/>
    <x v="1"/>
    <x v="45"/>
    <s v="Elpida Rittenbach"/>
    <x v="1"/>
    <s v="United States"/>
    <s v="Saint Paul"/>
    <s v="Minnesota"/>
    <n v="55106"/>
    <x v="2"/>
    <s v="OFF-AP-10000358"/>
    <x v="1"/>
    <s v="Appliances"/>
    <s v="Fellowes Basic Home/Office Series Surge Protectors"/>
    <n v="77.88"/>
    <n v="6"/>
    <x v="0"/>
    <n v="22.5852"/>
  </r>
  <r>
    <n v="100"/>
    <s v="CA-2016-158568"/>
    <x v="48"/>
    <x v="48"/>
    <x v="1"/>
    <x v="46"/>
    <s v="Rick Bensley"/>
    <x v="2"/>
    <s v="United States"/>
    <s v="Chicago"/>
    <s v="Illinois"/>
    <n v="60610"/>
    <x v="2"/>
    <s v="OFF-PA-10003256"/>
    <x v="1"/>
    <s v="Paper"/>
    <s v="Avery Personal Creations Heavyweight Cards"/>
    <n v="64.623999999999995"/>
    <n v="7"/>
    <x v="2"/>
    <n v="22.618400000000001"/>
  </r>
  <r>
    <n v="101"/>
    <s v="CA-2016-158568"/>
    <x v="48"/>
    <x v="48"/>
    <x v="1"/>
    <x v="46"/>
    <s v="Rick Bensley"/>
    <x v="2"/>
    <s v="United States"/>
    <s v="Chicago"/>
    <s v="Illinois"/>
    <n v="60610"/>
    <x v="2"/>
    <s v="TEC-AC-10001767"/>
    <x v="2"/>
    <s v="Accessories"/>
    <s v="SanDisk Ultra 64 GB MicroSDHC Class 10 Memory Card"/>
    <n v="95.975999999999999"/>
    <n v="3"/>
    <x v="2"/>
    <n v="-10.7973"/>
  </r>
  <r>
    <n v="102"/>
    <s v="CA-2016-158568"/>
    <x v="48"/>
    <x v="48"/>
    <x v="1"/>
    <x v="46"/>
    <s v="Rick Bensley"/>
    <x v="2"/>
    <s v="United States"/>
    <s v="Chicago"/>
    <s v="Illinois"/>
    <n v="60610"/>
    <x v="2"/>
    <s v="OFF-BI-10002609"/>
    <x v="1"/>
    <s v="Binders"/>
    <s v="Avery Hidden Tab Dividers for Binding Systems"/>
    <n v="1.788"/>
    <n v="3"/>
    <x v="3"/>
    <n v="-3.0396000000000001"/>
  </r>
  <r>
    <n v="103"/>
    <s v="CA-2016-129903"/>
    <x v="49"/>
    <x v="49"/>
    <x v="0"/>
    <x v="47"/>
    <s v="Gary Zandusky"/>
    <x v="0"/>
    <s v="United States"/>
    <s v="Rochester"/>
    <s v="Minnesota"/>
    <n v="55901"/>
    <x v="2"/>
    <s v="OFF-PA-10004040"/>
    <x v="1"/>
    <s v="Paper"/>
    <s v="Universal Premium White Copier/Laser Paper (20Lb. and 87 Bright)"/>
    <n v="23.92"/>
    <n v="4"/>
    <x v="0"/>
    <n v="11.720800000000001"/>
  </r>
  <r>
    <n v="104"/>
    <s v="US-2015-156867"/>
    <x v="50"/>
    <x v="50"/>
    <x v="1"/>
    <x v="48"/>
    <s v="Lena Cacioppo"/>
    <x v="0"/>
    <s v="United States"/>
    <s v="Aurora"/>
    <s v="Colorado"/>
    <n v="80013"/>
    <x v="1"/>
    <s v="TEC-AC-10001552"/>
    <x v="2"/>
    <s v="Accessories"/>
    <s v="Logitech K350 2.4Ghz Wireless Keyboard"/>
    <n v="238.89599999999999"/>
    <n v="6"/>
    <x v="2"/>
    <n v="-26.875800000000002"/>
  </r>
  <r>
    <n v="105"/>
    <s v="US-2015-156867"/>
    <x v="50"/>
    <x v="50"/>
    <x v="1"/>
    <x v="48"/>
    <s v="Lena Cacioppo"/>
    <x v="0"/>
    <s v="United States"/>
    <s v="Aurora"/>
    <s v="Colorado"/>
    <n v="80013"/>
    <x v="1"/>
    <s v="FUR-FU-10004006"/>
    <x v="0"/>
    <s v="Furnishings"/>
    <s v="Deflect-o DuraMat Lighweight, Studded, Beveled Mat for Low Pile Carpeting"/>
    <n v="102.36"/>
    <n v="3"/>
    <x v="2"/>
    <n v="-3.83850000000001"/>
  </r>
  <r>
    <n v="106"/>
    <s v="US-2015-156867"/>
    <x v="50"/>
    <x v="50"/>
    <x v="1"/>
    <x v="48"/>
    <s v="Lena Cacioppo"/>
    <x v="0"/>
    <s v="United States"/>
    <s v="Aurora"/>
    <s v="Colorado"/>
    <n v="80013"/>
    <x v="1"/>
    <s v="OFF-BI-10002794"/>
    <x v="1"/>
    <s v="Binders"/>
    <s v="Avery Trapezoid Ring Binder, 3&quot; Capacity, Black, 1040 sheets"/>
    <n v="36.881999999999998"/>
    <n v="3"/>
    <x v="6"/>
    <n v="-25.817399999999999"/>
  </r>
  <r>
    <n v="107"/>
    <s v="CA-2017-119004"/>
    <x v="51"/>
    <x v="51"/>
    <x v="1"/>
    <x v="49"/>
    <s v="Janet Martin"/>
    <x v="0"/>
    <s v="United States"/>
    <s v="Charlotte"/>
    <s v="North Carolina"/>
    <n v="28205"/>
    <x v="0"/>
    <s v="TEC-AC-10003499"/>
    <x v="2"/>
    <s v="Accessories"/>
    <s v="Memorex Mini Travel Drive 8 GB USB 2.0 Flash Drive"/>
    <n v="74.111999999999995"/>
    <n v="8"/>
    <x v="2"/>
    <n v="17.601600000000001"/>
  </r>
  <r>
    <n v="108"/>
    <s v="CA-2017-119004"/>
    <x v="51"/>
    <x v="51"/>
    <x v="1"/>
    <x v="49"/>
    <s v="Janet Martin"/>
    <x v="0"/>
    <s v="United States"/>
    <s v="Charlotte"/>
    <s v="North Carolina"/>
    <n v="28205"/>
    <x v="0"/>
    <s v="TEC-PH-10002844"/>
    <x v="2"/>
    <s v="Phones"/>
    <s v="Speck Products Candyshell Flip Case"/>
    <n v="27.992000000000001"/>
    <n v="1"/>
    <x v="2"/>
    <n v="2.0994000000000002"/>
  </r>
  <r>
    <n v="109"/>
    <s v="CA-2017-119004"/>
    <x v="51"/>
    <x v="51"/>
    <x v="1"/>
    <x v="49"/>
    <s v="Janet Martin"/>
    <x v="0"/>
    <s v="United States"/>
    <s v="Charlotte"/>
    <s v="North Carolina"/>
    <n v="28205"/>
    <x v="0"/>
    <s v="OFF-AR-10000390"/>
    <x v="1"/>
    <s v="Art"/>
    <s v="Newell Chalk Holder"/>
    <n v="3.3039999999999998"/>
    <n v="1"/>
    <x v="2"/>
    <n v="1.0738000000000001"/>
  </r>
  <r>
    <n v="110"/>
    <s v="CA-2015-129476"/>
    <x v="52"/>
    <x v="52"/>
    <x v="1"/>
    <x v="50"/>
    <s v="Pete Armstrong"/>
    <x v="2"/>
    <s v="United States"/>
    <s v="Orland Park"/>
    <s v="Illinois"/>
    <n v="60462"/>
    <x v="2"/>
    <s v="TEC-AC-10000844"/>
    <x v="2"/>
    <s v="Accessories"/>
    <s v="Logitech Gaming G510s - Keyboard"/>
    <n v="339.96"/>
    <n v="5"/>
    <x v="2"/>
    <n v="67.992000000000004"/>
  </r>
  <r>
    <n v="111"/>
    <s v="CA-2017-146780"/>
    <x v="53"/>
    <x v="53"/>
    <x v="1"/>
    <x v="51"/>
    <s v="Cynthia Voltz"/>
    <x v="1"/>
    <s v="United States"/>
    <s v="New York City"/>
    <s v="New York"/>
    <n v="10035"/>
    <x v="3"/>
    <s v="FUR-FU-10001934"/>
    <x v="0"/>
    <s v="Furnishings"/>
    <s v="Magnifier Swing Arm Lamp"/>
    <n v="41.96"/>
    <n v="2"/>
    <x v="0"/>
    <n v="10.909599999999999"/>
  </r>
  <r>
    <n v="112"/>
    <s v="CA-2016-128867"/>
    <x v="54"/>
    <x v="54"/>
    <x v="1"/>
    <x v="52"/>
    <s v="Clay Ludtke"/>
    <x v="0"/>
    <s v="United States"/>
    <s v="Urbandale"/>
    <s v="Iowa"/>
    <n v="50322"/>
    <x v="2"/>
    <s v="OFF-AR-10000380"/>
    <x v="1"/>
    <s v="Art"/>
    <s v="Hunt PowerHouse Electric Pencil Sharpener, Blue"/>
    <n v="75.959999999999994"/>
    <n v="2"/>
    <x v="0"/>
    <n v="22.788"/>
  </r>
  <r>
    <n v="113"/>
    <s v="CA-2016-128867"/>
    <x v="54"/>
    <x v="54"/>
    <x v="1"/>
    <x v="52"/>
    <s v="Clay Ludtke"/>
    <x v="0"/>
    <s v="United States"/>
    <s v="Urbandale"/>
    <s v="Iowa"/>
    <n v="50322"/>
    <x v="2"/>
    <s v="OFF-BI-10003981"/>
    <x v="1"/>
    <s v="Binders"/>
    <s v="Avery Durable Plastic 1&quot; Binders"/>
    <n v="27.24"/>
    <n v="6"/>
    <x v="0"/>
    <n v="13.3476"/>
  </r>
  <r>
    <n v="114"/>
    <s v="CA-2014-115259"/>
    <x v="55"/>
    <x v="55"/>
    <x v="0"/>
    <x v="53"/>
    <s v="Ryan Crowe"/>
    <x v="0"/>
    <s v="United States"/>
    <s v="Columbus"/>
    <s v="Ohio"/>
    <n v="43229"/>
    <x v="3"/>
    <s v="OFF-FA-10000621"/>
    <x v="1"/>
    <s v="Fasteners"/>
    <s v="OIC Colored Binder Clips, Assorted Sizes"/>
    <n v="40.095999999999997"/>
    <n v="14"/>
    <x v="2"/>
    <n v="14.534800000000001"/>
  </r>
  <r>
    <n v="115"/>
    <s v="CA-2014-115259"/>
    <x v="55"/>
    <x v="55"/>
    <x v="0"/>
    <x v="53"/>
    <s v="Ryan Crowe"/>
    <x v="0"/>
    <s v="United States"/>
    <s v="Columbus"/>
    <s v="Ohio"/>
    <n v="43229"/>
    <x v="3"/>
    <s v="OFF-EN-10002600"/>
    <x v="1"/>
    <s v="Envelopes"/>
    <s v="Redi-Strip #10 Envelopes, 4 1/8 x 9 1/2"/>
    <n v="4.72"/>
    <n v="2"/>
    <x v="2"/>
    <n v="1.6519999999999999"/>
  </r>
  <r>
    <n v="116"/>
    <s v="CA-2014-115259"/>
    <x v="55"/>
    <x v="55"/>
    <x v="0"/>
    <x v="53"/>
    <s v="Ryan Crowe"/>
    <x v="0"/>
    <s v="United States"/>
    <s v="Columbus"/>
    <s v="Ohio"/>
    <n v="43229"/>
    <x v="3"/>
    <s v="OFF-PA-10004965"/>
    <x v="1"/>
    <s v="Paper"/>
    <s v="Xerox 1921"/>
    <n v="23.975999999999999"/>
    <n v="3"/>
    <x v="2"/>
    <n v="7.4924999999999997"/>
  </r>
  <r>
    <n v="117"/>
    <s v="CA-2014-115259"/>
    <x v="55"/>
    <x v="55"/>
    <x v="0"/>
    <x v="53"/>
    <s v="Ryan Crowe"/>
    <x v="0"/>
    <s v="United States"/>
    <s v="Columbus"/>
    <s v="Ohio"/>
    <n v="43229"/>
    <x v="3"/>
    <s v="OFF-EN-10002504"/>
    <x v="1"/>
    <s v="Envelopes"/>
    <s v="Tyvek  Top-Opening Peel &amp; Seel Envelopes, Plain White"/>
    <n v="130.464"/>
    <n v="6"/>
    <x v="2"/>
    <n v="44.031599999999997"/>
  </r>
  <r>
    <n v="118"/>
    <s v="CA-2015-110457"/>
    <x v="56"/>
    <x v="56"/>
    <x v="1"/>
    <x v="54"/>
    <s v="Dave Kipp"/>
    <x v="0"/>
    <s v="United States"/>
    <s v="Seattle"/>
    <s v="Washington"/>
    <n v="98103"/>
    <x v="1"/>
    <s v="FUR-TA-10001768"/>
    <x v="0"/>
    <s v="Tables"/>
    <s v="Hon Racetrack Conference Tables"/>
    <n v="787.53"/>
    <n v="3"/>
    <x v="0"/>
    <n v="165.38130000000001"/>
  </r>
  <r>
    <n v="119"/>
    <s v="US-2015-136476"/>
    <x v="57"/>
    <x v="57"/>
    <x v="1"/>
    <x v="55"/>
    <s v="Greg Guthrie"/>
    <x v="1"/>
    <s v="United States"/>
    <s v="Bristol"/>
    <s v="Tennessee"/>
    <n v="37620"/>
    <x v="0"/>
    <s v="OFF-BI-10003650"/>
    <x v="1"/>
    <s v="Binders"/>
    <s v="GBC DocuBind 300 Electric Binding Machine"/>
    <n v="157.79400000000001"/>
    <n v="1"/>
    <x v="6"/>
    <n v="-115.71559999999999"/>
  </r>
  <r>
    <n v="120"/>
    <s v="CA-2016-103730"/>
    <x v="1"/>
    <x v="35"/>
    <x v="2"/>
    <x v="56"/>
    <s v="Steven Cartwright"/>
    <x v="0"/>
    <s v="United States"/>
    <s v="Wilmington"/>
    <s v="Delaware"/>
    <n v="19805"/>
    <x v="3"/>
    <s v="FUR-FU-10002157"/>
    <x v="0"/>
    <s v="Furnishings"/>
    <s v="Artistic Insta-Plaque"/>
    <n v="47.04"/>
    <n v="3"/>
    <x v="0"/>
    <n v="18.345600000000001"/>
  </r>
  <r>
    <n v="121"/>
    <s v="CA-2016-103730"/>
    <x v="1"/>
    <x v="35"/>
    <x v="2"/>
    <x v="56"/>
    <s v="Steven Cartwright"/>
    <x v="0"/>
    <s v="United States"/>
    <s v="Wilmington"/>
    <s v="Delaware"/>
    <n v="19805"/>
    <x v="3"/>
    <s v="OFF-BI-10003910"/>
    <x v="1"/>
    <s v="Binders"/>
    <s v="DXL Angle-View Binders with Locking Rings by Samsill"/>
    <n v="30.84"/>
    <n v="4"/>
    <x v="0"/>
    <n v="13.878"/>
  </r>
  <r>
    <n v="122"/>
    <s v="CA-2016-103730"/>
    <x v="1"/>
    <x v="35"/>
    <x v="2"/>
    <x v="56"/>
    <s v="Steven Cartwright"/>
    <x v="0"/>
    <s v="United States"/>
    <s v="Wilmington"/>
    <s v="Delaware"/>
    <n v="19805"/>
    <x v="3"/>
    <s v="OFF-ST-10000777"/>
    <x v="1"/>
    <s v="Storage"/>
    <s v="Companion Letter/Legal File, Black"/>
    <n v="226.56"/>
    <n v="6"/>
    <x v="0"/>
    <n v="63.436799999999998"/>
  </r>
  <r>
    <n v="123"/>
    <s v="CA-2016-103730"/>
    <x v="1"/>
    <x v="35"/>
    <x v="2"/>
    <x v="56"/>
    <s v="Steven Cartwright"/>
    <x v="0"/>
    <s v="United States"/>
    <s v="Wilmington"/>
    <s v="Delaware"/>
    <n v="19805"/>
    <x v="3"/>
    <s v="OFF-EN-10002500"/>
    <x v="1"/>
    <s v="Envelopes"/>
    <s v="Globe Weis Peel &amp; Seel First Class Envelopes"/>
    <n v="115.02"/>
    <n v="9"/>
    <x v="0"/>
    <n v="51.759"/>
  </r>
  <r>
    <n v="124"/>
    <s v="CA-2016-103730"/>
    <x v="1"/>
    <x v="35"/>
    <x v="2"/>
    <x v="56"/>
    <s v="Steven Cartwright"/>
    <x v="0"/>
    <s v="United States"/>
    <s v="Wilmington"/>
    <s v="Delaware"/>
    <n v="19805"/>
    <x v="3"/>
    <s v="TEC-PH-10003875"/>
    <x v="2"/>
    <s v="Phones"/>
    <s v="KLD Oscar II Style Snap-on Ultra Thin Side Flip Synthetic Leather Cover Case for HTC One HTC M7"/>
    <n v="68.040000000000006"/>
    <n v="7"/>
    <x v="0"/>
    <n v="19.7316"/>
  </r>
  <r>
    <n v="125"/>
    <s v="US-2014-152030"/>
    <x v="58"/>
    <x v="58"/>
    <x v="0"/>
    <x v="57"/>
    <s v="Alan Dominguez"/>
    <x v="2"/>
    <s v="United States"/>
    <s v="Houston"/>
    <s v="Texas"/>
    <n v="77041"/>
    <x v="2"/>
    <s v="FUR-CH-10004063"/>
    <x v="0"/>
    <s v="Chairs"/>
    <s v="Global Deluxe High-Back Manager's Chair"/>
    <n v="600.55799999999999"/>
    <n v="3"/>
    <x v="4"/>
    <n v="-8.5794000000000796"/>
  </r>
  <r>
    <n v="126"/>
    <s v="US-2014-134614"/>
    <x v="59"/>
    <x v="59"/>
    <x v="1"/>
    <x v="58"/>
    <s v="Philip Fox"/>
    <x v="0"/>
    <s v="United States"/>
    <s v="Bloomington"/>
    <s v="Illinois"/>
    <n v="61701"/>
    <x v="2"/>
    <s v="FUR-TA-10004534"/>
    <x v="0"/>
    <s v="Tables"/>
    <s v="Bevis 44 x 96 Conference Tables"/>
    <n v="617.70000000000005"/>
    <n v="6"/>
    <x v="5"/>
    <n v="-407.68200000000002"/>
  </r>
  <r>
    <n v="127"/>
    <s v="US-2017-107272"/>
    <x v="60"/>
    <x v="44"/>
    <x v="1"/>
    <x v="59"/>
    <s v="Troy Staebel"/>
    <x v="0"/>
    <s v="United States"/>
    <s v="Phoenix"/>
    <s v="Arizona"/>
    <n v="85023"/>
    <x v="1"/>
    <s v="OFF-BI-10003274"/>
    <x v="1"/>
    <s v="Binders"/>
    <s v="Avery Durable Slant Ring Binders, No Labels"/>
    <n v="2.3879999999999999"/>
    <n v="2"/>
    <x v="6"/>
    <n v="-1.8308"/>
  </r>
  <r>
    <n v="128"/>
    <s v="US-2017-107272"/>
    <x v="60"/>
    <x v="44"/>
    <x v="1"/>
    <x v="59"/>
    <s v="Troy Staebel"/>
    <x v="0"/>
    <s v="United States"/>
    <s v="Phoenix"/>
    <s v="Arizona"/>
    <n v="85023"/>
    <x v="1"/>
    <s v="OFF-ST-10002974"/>
    <x v="1"/>
    <s v="Storage"/>
    <s v="Trav-L-File Heavy-Duty Shuttle II, Black"/>
    <n v="243.99199999999999"/>
    <n v="7"/>
    <x v="2"/>
    <n v="30.498999999999999"/>
  </r>
  <r>
    <n v="129"/>
    <s v="US-2016-125969"/>
    <x v="61"/>
    <x v="54"/>
    <x v="0"/>
    <x v="60"/>
    <s v="Lindsay Shagiari"/>
    <x v="2"/>
    <s v="United States"/>
    <s v="Los Angeles"/>
    <s v="California"/>
    <n v="90004"/>
    <x v="1"/>
    <s v="FUR-CH-10001146"/>
    <x v="0"/>
    <s v="Chairs"/>
    <s v="Global Task Chair, Black"/>
    <n v="81.424000000000007"/>
    <n v="2"/>
    <x v="2"/>
    <n v="-9.1601999999999997"/>
  </r>
  <r>
    <n v="130"/>
    <s v="US-2016-125969"/>
    <x v="61"/>
    <x v="54"/>
    <x v="0"/>
    <x v="60"/>
    <s v="Lindsay Shagiari"/>
    <x v="2"/>
    <s v="United States"/>
    <s v="Los Angeles"/>
    <s v="California"/>
    <n v="90004"/>
    <x v="1"/>
    <s v="FUR-FU-10003773"/>
    <x v="0"/>
    <s v="Furnishings"/>
    <s v="Eldon Cleatmat Plus Chair Mats for High Pile Carpets"/>
    <n v="238.56"/>
    <n v="3"/>
    <x v="0"/>
    <n v="26.241599999999998"/>
  </r>
  <r>
    <n v="131"/>
    <s v="US-2017-164147"/>
    <x v="62"/>
    <x v="60"/>
    <x v="2"/>
    <x v="61"/>
    <s v="Dorothy Wardle"/>
    <x v="1"/>
    <s v="United States"/>
    <s v="Columbus"/>
    <s v="Ohio"/>
    <n v="43229"/>
    <x v="3"/>
    <s v="TEC-PH-10002293"/>
    <x v="2"/>
    <s v="Phones"/>
    <s v="Anker 36W 4-Port USB Wall Charger Travel Power Adapter for iPhone 5s 5c 5"/>
    <n v="59.97"/>
    <n v="5"/>
    <x v="10"/>
    <n v="-11.994"/>
  </r>
  <r>
    <n v="132"/>
    <s v="US-2017-164147"/>
    <x v="62"/>
    <x v="60"/>
    <x v="2"/>
    <x v="61"/>
    <s v="Dorothy Wardle"/>
    <x v="1"/>
    <s v="United States"/>
    <s v="Columbus"/>
    <s v="Ohio"/>
    <n v="43229"/>
    <x v="3"/>
    <s v="OFF-PA-10002377"/>
    <x v="1"/>
    <s v="Paper"/>
    <s v="Xerox 1916"/>
    <n v="78.304000000000002"/>
    <n v="2"/>
    <x v="2"/>
    <n v="29.364000000000001"/>
  </r>
  <r>
    <n v="133"/>
    <s v="US-2017-164147"/>
    <x v="62"/>
    <x v="60"/>
    <x v="2"/>
    <x v="61"/>
    <s v="Dorothy Wardle"/>
    <x v="1"/>
    <s v="United States"/>
    <s v="Columbus"/>
    <s v="Ohio"/>
    <n v="43229"/>
    <x v="3"/>
    <s v="OFF-FA-10002780"/>
    <x v="1"/>
    <s v="Fasteners"/>
    <s v="Staples"/>
    <n v="21.456"/>
    <n v="9"/>
    <x v="2"/>
    <n v="6.9732000000000003"/>
  </r>
  <r>
    <n v="134"/>
    <s v="CA-2016-145583"/>
    <x v="63"/>
    <x v="61"/>
    <x v="1"/>
    <x v="62"/>
    <s v="Lena Creighton"/>
    <x v="0"/>
    <s v="United States"/>
    <s v="Roseville"/>
    <s v="California"/>
    <n v="95661"/>
    <x v="1"/>
    <s v="OFF-PA-10001804"/>
    <x v="1"/>
    <s v="Paper"/>
    <s v="Xerox 195"/>
    <n v="20.04"/>
    <n v="3"/>
    <x v="0"/>
    <n v="9.6191999999999993"/>
  </r>
  <r>
    <n v="135"/>
    <s v="CA-2016-145583"/>
    <x v="63"/>
    <x v="61"/>
    <x v="1"/>
    <x v="62"/>
    <s v="Lena Creighton"/>
    <x v="0"/>
    <s v="United States"/>
    <s v="Roseville"/>
    <s v="California"/>
    <n v="95661"/>
    <x v="1"/>
    <s v="OFF-PA-10001736"/>
    <x v="1"/>
    <s v="Paper"/>
    <s v="Xerox 1880"/>
    <n v="35.44"/>
    <n v="1"/>
    <x v="0"/>
    <n v="16.6568"/>
  </r>
  <r>
    <n v="136"/>
    <s v="CA-2016-145583"/>
    <x v="63"/>
    <x v="61"/>
    <x v="1"/>
    <x v="62"/>
    <s v="Lena Creighton"/>
    <x v="0"/>
    <s v="United States"/>
    <s v="Roseville"/>
    <s v="California"/>
    <n v="95661"/>
    <x v="1"/>
    <s v="OFF-AR-10001149"/>
    <x v="1"/>
    <s v="Art"/>
    <s v="Sanford Colorific Colored Pencils, 12/Box"/>
    <n v="11.52"/>
    <n v="4"/>
    <x v="0"/>
    <n v="3.456"/>
  </r>
  <r>
    <n v="137"/>
    <s v="CA-2016-145583"/>
    <x v="63"/>
    <x v="61"/>
    <x v="1"/>
    <x v="62"/>
    <s v="Lena Creighton"/>
    <x v="0"/>
    <s v="United States"/>
    <s v="Roseville"/>
    <s v="California"/>
    <n v="95661"/>
    <x v="1"/>
    <s v="OFF-FA-10002988"/>
    <x v="1"/>
    <s v="Fasteners"/>
    <s v="Ideal Clamps"/>
    <n v="4.0199999999999996"/>
    <n v="2"/>
    <x v="0"/>
    <n v="1.9698"/>
  </r>
  <r>
    <n v="138"/>
    <s v="CA-2016-145583"/>
    <x v="63"/>
    <x v="61"/>
    <x v="1"/>
    <x v="62"/>
    <s v="Lena Creighton"/>
    <x v="0"/>
    <s v="United States"/>
    <s v="Roseville"/>
    <s v="California"/>
    <n v="95661"/>
    <x v="1"/>
    <s v="OFF-BI-10004781"/>
    <x v="1"/>
    <s v="Binders"/>
    <s v="GBC Wire Binding Strips"/>
    <n v="76.176000000000002"/>
    <n v="3"/>
    <x v="2"/>
    <n v="26.6616"/>
  </r>
  <r>
    <n v="139"/>
    <s v="CA-2016-145583"/>
    <x v="63"/>
    <x v="61"/>
    <x v="1"/>
    <x v="62"/>
    <s v="Lena Creighton"/>
    <x v="0"/>
    <s v="United States"/>
    <s v="Roseville"/>
    <s v="California"/>
    <n v="95661"/>
    <x v="1"/>
    <s v="OFF-SU-10001218"/>
    <x v="1"/>
    <s v="Supplies"/>
    <s v="Fiskars Softgrip Scissors"/>
    <n v="65.88"/>
    <n v="6"/>
    <x v="0"/>
    <n v="18.446400000000001"/>
  </r>
  <r>
    <n v="140"/>
    <s v="CA-2016-145583"/>
    <x v="63"/>
    <x v="61"/>
    <x v="1"/>
    <x v="62"/>
    <s v="Lena Creighton"/>
    <x v="0"/>
    <s v="United States"/>
    <s v="Roseville"/>
    <s v="California"/>
    <n v="95661"/>
    <x v="1"/>
    <s v="FUR-FU-10001706"/>
    <x v="0"/>
    <s v="Furnishings"/>
    <s v="Longer-Life Soft White Bulbs"/>
    <n v="43.12"/>
    <n v="14"/>
    <x v="0"/>
    <n v="20.697600000000001"/>
  </r>
  <r>
    <n v="141"/>
    <s v="CA-2016-110366"/>
    <x v="64"/>
    <x v="62"/>
    <x v="0"/>
    <x v="63"/>
    <s v="Jonathan Doherty"/>
    <x v="1"/>
    <s v="United States"/>
    <s v="Philadelphia"/>
    <s v="Pennsylvania"/>
    <n v="19140"/>
    <x v="3"/>
    <s v="FUR-FU-10004848"/>
    <x v="0"/>
    <s v="Furnishings"/>
    <s v="Howard Miller 13-3/4&quot; Diameter Brushed Chrome Round Wall Clock"/>
    <n v="82.8"/>
    <n v="2"/>
    <x v="2"/>
    <n v="10.35"/>
  </r>
  <r>
    <n v="142"/>
    <s v="CA-2017-106180"/>
    <x v="65"/>
    <x v="19"/>
    <x v="1"/>
    <x v="64"/>
    <s v="Sally Hughsby"/>
    <x v="1"/>
    <s v="United States"/>
    <s v="San Francisco"/>
    <s v="California"/>
    <n v="94122"/>
    <x v="1"/>
    <s v="OFF-AR-10000940"/>
    <x v="1"/>
    <s v="Art"/>
    <s v="Newell 343"/>
    <n v="8.82"/>
    <n v="3"/>
    <x v="0"/>
    <n v="2.3814000000000002"/>
  </r>
  <r>
    <n v="143"/>
    <s v="CA-2017-106180"/>
    <x v="65"/>
    <x v="19"/>
    <x v="1"/>
    <x v="64"/>
    <s v="Sally Hughsby"/>
    <x v="1"/>
    <s v="United States"/>
    <s v="San Francisco"/>
    <s v="California"/>
    <n v="94122"/>
    <x v="1"/>
    <s v="OFF-EN-10004030"/>
    <x v="1"/>
    <s v="Envelopes"/>
    <s v="Convenience Packs of Business Envelopes"/>
    <n v="10.86"/>
    <n v="3"/>
    <x v="0"/>
    <n v="5.1041999999999996"/>
  </r>
  <r>
    <n v="144"/>
    <s v="CA-2017-106180"/>
    <x v="65"/>
    <x v="19"/>
    <x v="1"/>
    <x v="64"/>
    <s v="Sally Hughsby"/>
    <x v="1"/>
    <s v="United States"/>
    <s v="San Francisco"/>
    <s v="California"/>
    <n v="94122"/>
    <x v="1"/>
    <s v="OFF-PA-10004327"/>
    <x v="1"/>
    <s v="Paper"/>
    <s v="Xerox 1911"/>
    <n v="143.69999999999999"/>
    <n v="3"/>
    <x v="0"/>
    <n v="68.975999999999999"/>
  </r>
  <r>
    <n v="145"/>
    <s v="CA-2017-155376"/>
    <x v="66"/>
    <x v="63"/>
    <x v="1"/>
    <x v="65"/>
    <s v="Sandra Glassco"/>
    <x v="0"/>
    <s v="United States"/>
    <s v="Independence"/>
    <s v="Missouri"/>
    <n v="64055"/>
    <x v="2"/>
    <s v="OFF-AP-10001058"/>
    <x v="1"/>
    <s v="Appliances"/>
    <s v="Sanyo 2.5 Cubic Foot Mid-Size Office Refrigerators"/>
    <n v="839.43"/>
    <n v="3"/>
    <x v="0"/>
    <n v="218.2518"/>
  </r>
  <r>
    <n v="146"/>
    <s v="CA-2015-110744"/>
    <x v="67"/>
    <x v="64"/>
    <x v="1"/>
    <x v="66"/>
    <s v="Helen Andreada"/>
    <x v="0"/>
    <s v="United States"/>
    <s v="Pasadena"/>
    <s v="California"/>
    <n v="91104"/>
    <x v="1"/>
    <s v="OFF-ST-10003656"/>
    <x v="1"/>
    <s v="Storage"/>
    <s v="Safco Industrial Wire Shelving"/>
    <n v="671.93"/>
    <n v="7"/>
    <x v="0"/>
    <n v="20.157900000000001"/>
  </r>
  <r>
    <n v="147"/>
    <s v="CA-2014-110072"/>
    <x v="68"/>
    <x v="65"/>
    <x v="1"/>
    <x v="67"/>
    <s v="Maureen Gastineau"/>
    <x v="2"/>
    <s v="United States"/>
    <s v="Newark"/>
    <s v="Ohio"/>
    <n v="43055"/>
    <x v="3"/>
    <s v="FUR-FU-10000521"/>
    <x v="0"/>
    <s v="Furnishings"/>
    <s v="Seth Thomas 14&quot; Putty-Colored Wall Clock"/>
    <n v="93.888000000000005"/>
    <n v="4"/>
    <x v="2"/>
    <n v="12.909599999999999"/>
  </r>
  <r>
    <n v="148"/>
    <s v="CA-2016-114489"/>
    <x v="5"/>
    <x v="66"/>
    <x v="1"/>
    <x v="68"/>
    <s v="Justin Ellison"/>
    <x v="1"/>
    <s v="United States"/>
    <s v="Franklin"/>
    <s v="Wisconsin"/>
    <n v="53132"/>
    <x v="2"/>
    <s v="TEC-PH-10000215"/>
    <x v="2"/>
    <s v="Phones"/>
    <s v="Plantronics Cordless Phone Headset with In-line Volume - M214C"/>
    <n v="384.45"/>
    <n v="11"/>
    <x v="0"/>
    <n v="103.8015"/>
  </r>
  <r>
    <n v="149"/>
    <s v="CA-2016-114489"/>
    <x v="5"/>
    <x v="66"/>
    <x v="1"/>
    <x v="68"/>
    <s v="Justin Ellison"/>
    <x v="1"/>
    <s v="United States"/>
    <s v="Franklin"/>
    <s v="Wisconsin"/>
    <n v="53132"/>
    <x v="2"/>
    <s v="TEC-PH-10001448"/>
    <x v="2"/>
    <s v="Phones"/>
    <s v="Anker Astro 15000mAh USB Portable Charger"/>
    <n v="149.97"/>
    <n v="3"/>
    <x v="0"/>
    <n v="5.9987999999999797"/>
  </r>
  <r>
    <n v="150"/>
    <s v="CA-2016-114489"/>
    <x v="5"/>
    <x v="66"/>
    <x v="1"/>
    <x v="68"/>
    <s v="Justin Ellison"/>
    <x v="1"/>
    <s v="United States"/>
    <s v="Franklin"/>
    <s v="Wisconsin"/>
    <n v="53132"/>
    <x v="2"/>
    <s v="FUR-CH-10000454"/>
    <x v="0"/>
    <s v="Chairs"/>
    <s v="Hon Deluxe Fabric Upholstered Stacking Chairs, Rounded Back"/>
    <n v="1951.84"/>
    <n v="8"/>
    <x v="0"/>
    <n v="585.55200000000002"/>
  </r>
  <r>
    <n v="151"/>
    <s v="CA-2016-114489"/>
    <x v="5"/>
    <x v="66"/>
    <x v="1"/>
    <x v="68"/>
    <s v="Justin Ellison"/>
    <x v="1"/>
    <s v="United States"/>
    <s v="Franklin"/>
    <s v="Wisconsin"/>
    <n v="53132"/>
    <x v="2"/>
    <s v="OFF-BI-10002735"/>
    <x v="1"/>
    <s v="Binders"/>
    <s v="GBC Prestige Therm-A-Bind Covers"/>
    <n v="171.55"/>
    <n v="5"/>
    <x v="0"/>
    <n v="80.628500000000003"/>
  </r>
  <r>
    <n v="152"/>
    <s v="CA-2016-158834"/>
    <x v="69"/>
    <x v="67"/>
    <x v="2"/>
    <x v="69"/>
    <s v="Tamara Willingham"/>
    <x v="2"/>
    <s v="United States"/>
    <s v="Scottsdale"/>
    <s v="Arizona"/>
    <n v="85254"/>
    <x v="1"/>
    <s v="OFF-AP-10000326"/>
    <x v="1"/>
    <s v="Appliances"/>
    <s v="Belkin 7 Outlet SurgeMaster Surge Protector with Phone Protection"/>
    <n v="157.91999999999999"/>
    <n v="5"/>
    <x v="2"/>
    <n v="17.765999999999998"/>
  </r>
  <r>
    <n v="153"/>
    <s v="CA-2016-158834"/>
    <x v="69"/>
    <x v="67"/>
    <x v="2"/>
    <x v="69"/>
    <s v="Tamara Willingham"/>
    <x v="2"/>
    <s v="United States"/>
    <s v="Scottsdale"/>
    <s v="Arizona"/>
    <n v="85254"/>
    <x v="1"/>
    <s v="TEC-PH-10001254"/>
    <x v="2"/>
    <s v="Phones"/>
    <s v="Jabra BIZ 2300 Duo QD Duo Corded Headset"/>
    <n v="203.184"/>
    <n v="2"/>
    <x v="2"/>
    <n v="15.238799999999999"/>
  </r>
  <r>
    <n v="154"/>
    <s v="CA-2015-124919"/>
    <x v="70"/>
    <x v="68"/>
    <x v="2"/>
    <x v="70"/>
    <s v="Stephanie Phelps"/>
    <x v="1"/>
    <s v="United States"/>
    <s v="San Jose"/>
    <s v="California"/>
    <n v="95123"/>
    <x v="1"/>
    <s v="OFF-PA-10001950"/>
    <x v="1"/>
    <s v="Paper"/>
    <s v="Southworth 25% Cotton Antique Laid Paper &amp; Envelopes"/>
    <n v="58.38"/>
    <n v="7"/>
    <x v="0"/>
    <n v="26.271000000000001"/>
  </r>
  <r>
    <n v="155"/>
    <s v="CA-2015-124919"/>
    <x v="70"/>
    <x v="68"/>
    <x v="2"/>
    <x v="70"/>
    <s v="Stephanie Phelps"/>
    <x v="1"/>
    <s v="United States"/>
    <s v="San Jose"/>
    <s v="California"/>
    <n v="95123"/>
    <x v="1"/>
    <s v="OFF-PA-10002254"/>
    <x v="1"/>
    <s v="Paper"/>
    <s v="Xerox 1883"/>
    <n v="105.52"/>
    <n v="4"/>
    <x v="0"/>
    <n v="48.539200000000001"/>
  </r>
  <r>
    <n v="156"/>
    <s v="CA-2015-124919"/>
    <x v="70"/>
    <x v="68"/>
    <x v="2"/>
    <x v="70"/>
    <s v="Stephanie Phelps"/>
    <x v="1"/>
    <s v="United States"/>
    <s v="San Jose"/>
    <s v="California"/>
    <n v="95123"/>
    <x v="1"/>
    <s v="OFF-ST-10001590"/>
    <x v="1"/>
    <s v="Storage"/>
    <s v="Tenex Personal Project File with Scoop Front Design, Black"/>
    <n v="80.88"/>
    <n v="6"/>
    <x v="0"/>
    <n v="21.0288"/>
  </r>
  <r>
    <n v="157"/>
    <s v="CA-2015-118948"/>
    <x v="71"/>
    <x v="69"/>
    <x v="1"/>
    <x v="71"/>
    <s v="Neil Knudson"/>
    <x v="2"/>
    <s v="United States"/>
    <s v="Seattle"/>
    <s v="Washington"/>
    <n v="98105"/>
    <x v="1"/>
    <s v="OFF-AR-10001547"/>
    <x v="1"/>
    <s v="Art"/>
    <s v="Newell 311"/>
    <n v="6.63"/>
    <n v="3"/>
    <x v="0"/>
    <n v="1.7901"/>
  </r>
  <r>
    <n v="158"/>
    <s v="CA-2014-104269"/>
    <x v="72"/>
    <x v="70"/>
    <x v="0"/>
    <x v="72"/>
    <s v="Dave Brooks"/>
    <x v="0"/>
    <s v="United States"/>
    <s v="Seattle"/>
    <s v="Washington"/>
    <n v="98115"/>
    <x v="1"/>
    <s v="FUR-CH-10004063"/>
    <x v="0"/>
    <s v="Chairs"/>
    <s v="Global Deluxe High-Back Manager's Chair"/>
    <n v="457.56799999999998"/>
    <n v="2"/>
    <x v="2"/>
    <n v="51.476399999999899"/>
  </r>
  <r>
    <n v="159"/>
    <s v="CA-2016-114104"/>
    <x v="73"/>
    <x v="71"/>
    <x v="1"/>
    <x v="73"/>
    <s v="Nora Paige"/>
    <x v="0"/>
    <s v="United States"/>
    <s v="Edmond"/>
    <s v="Oklahoma"/>
    <n v="73034"/>
    <x v="2"/>
    <s v="OFF-LA-10002475"/>
    <x v="1"/>
    <s v="Labels"/>
    <s v="Avery 519"/>
    <n v="14.62"/>
    <n v="2"/>
    <x v="0"/>
    <n v="6.8714000000000004"/>
  </r>
  <r>
    <n v="160"/>
    <s v="CA-2016-114104"/>
    <x v="73"/>
    <x v="71"/>
    <x v="1"/>
    <x v="73"/>
    <s v="Nora Paige"/>
    <x v="0"/>
    <s v="United States"/>
    <s v="Edmond"/>
    <s v="Oklahoma"/>
    <n v="73034"/>
    <x v="2"/>
    <s v="TEC-PH-10004536"/>
    <x v="2"/>
    <s v="Phones"/>
    <s v="Avaya 5420 Digital phone"/>
    <n v="944.93"/>
    <n v="7"/>
    <x v="0"/>
    <n v="236.23249999999999"/>
  </r>
  <r>
    <n v="161"/>
    <s v="CA-2016-162733"/>
    <x v="74"/>
    <x v="72"/>
    <x v="2"/>
    <x v="74"/>
    <s v="Ted Trevino"/>
    <x v="0"/>
    <s v="United States"/>
    <s v="Los Angeles"/>
    <s v="California"/>
    <n v="90045"/>
    <x v="1"/>
    <s v="OFF-PA-10002751"/>
    <x v="1"/>
    <s v="Paper"/>
    <s v="Xerox 1920"/>
    <n v="5.98"/>
    <n v="1"/>
    <x v="0"/>
    <n v="2.6909999999999998"/>
  </r>
  <r>
    <n v="162"/>
    <s v="CA-2015-119697"/>
    <x v="75"/>
    <x v="16"/>
    <x v="0"/>
    <x v="75"/>
    <s v="Eric Murdock"/>
    <x v="0"/>
    <s v="United States"/>
    <s v="Philadelphia"/>
    <s v="Pennsylvania"/>
    <n v="19134"/>
    <x v="3"/>
    <s v="TEC-AC-10003657"/>
    <x v="2"/>
    <s v="Accessories"/>
    <s v="Lenovo 17-Key USB Numeric Keypad"/>
    <n v="54.384"/>
    <n v="2"/>
    <x v="2"/>
    <n v="1.3595999999999999"/>
  </r>
  <r>
    <n v="163"/>
    <s v="CA-2016-154508"/>
    <x v="76"/>
    <x v="73"/>
    <x v="1"/>
    <x v="76"/>
    <s v="Ruben Dartt"/>
    <x v="0"/>
    <s v="United States"/>
    <s v="Carlsbad"/>
    <s v="New Mexico"/>
    <n v="88220"/>
    <x v="1"/>
    <s v="OFF-EN-10001990"/>
    <x v="1"/>
    <s v="Envelopes"/>
    <s v="Staple envelope"/>
    <n v="28.4"/>
    <n v="5"/>
    <x v="0"/>
    <n v="13.348000000000001"/>
  </r>
  <r>
    <n v="164"/>
    <s v="CA-2016-113817"/>
    <x v="77"/>
    <x v="0"/>
    <x v="1"/>
    <x v="77"/>
    <s v="Max Jones"/>
    <x v="0"/>
    <s v="United States"/>
    <s v="Seattle"/>
    <s v="Washington"/>
    <n v="98115"/>
    <x v="1"/>
    <s v="OFF-BI-10004002"/>
    <x v="1"/>
    <s v="Binders"/>
    <s v="Wilson Jones International Size A4 Ring Binders"/>
    <n v="27.68"/>
    <n v="2"/>
    <x v="2"/>
    <n v="9.6880000000000006"/>
  </r>
  <r>
    <n v="165"/>
    <s v="CA-2014-139892"/>
    <x v="78"/>
    <x v="74"/>
    <x v="1"/>
    <x v="78"/>
    <s v="Becky Martin"/>
    <x v="0"/>
    <s v="United States"/>
    <s v="San Antonio"/>
    <s v="Texas"/>
    <n v="78207"/>
    <x v="2"/>
    <s v="OFF-AR-10004441"/>
    <x v="1"/>
    <s v="Art"/>
    <s v="BIC Brite Liner Highlighters"/>
    <n v="9.9359999999999999"/>
    <n v="3"/>
    <x v="2"/>
    <n v="2.7324000000000002"/>
  </r>
  <r>
    <n v="166"/>
    <s v="CA-2014-139892"/>
    <x v="78"/>
    <x v="74"/>
    <x v="1"/>
    <x v="78"/>
    <s v="Becky Martin"/>
    <x v="0"/>
    <s v="United States"/>
    <s v="San Antonio"/>
    <s v="Texas"/>
    <n v="78207"/>
    <x v="2"/>
    <s v="TEC-MA-10000822"/>
    <x v="2"/>
    <s v="Machines"/>
    <s v="Lexmark MX611dhe Monochrome Laser Printer"/>
    <n v="8159.9520000000002"/>
    <n v="8"/>
    <x v="10"/>
    <n v="-1359.992"/>
  </r>
  <r>
    <n v="167"/>
    <s v="CA-2014-139892"/>
    <x v="78"/>
    <x v="74"/>
    <x v="1"/>
    <x v="78"/>
    <s v="Becky Martin"/>
    <x v="0"/>
    <s v="United States"/>
    <s v="San Antonio"/>
    <s v="Texas"/>
    <n v="78207"/>
    <x v="2"/>
    <s v="OFF-ST-10000991"/>
    <x v="1"/>
    <s v="Storage"/>
    <s v="Space Solutions HD Industrial Steel Shelving."/>
    <n v="275.928"/>
    <n v="3"/>
    <x v="2"/>
    <n v="-58.634700000000002"/>
  </r>
  <r>
    <n v="168"/>
    <s v="CA-2014-139892"/>
    <x v="78"/>
    <x v="74"/>
    <x v="1"/>
    <x v="78"/>
    <s v="Becky Martin"/>
    <x v="0"/>
    <s v="United States"/>
    <s v="San Antonio"/>
    <s v="Texas"/>
    <n v="78207"/>
    <x v="2"/>
    <s v="FUR-CH-10004287"/>
    <x v="0"/>
    <s v="Chairs"/>
    <s v="SAFCO Arco Folding Chair"/>
    <n v="1740.06"/>
    <n v="9"/>
    <x v="4"/>
    <n v="-24.858000000000199"/>
  </r>
  <r>
    <n v="169"/>
    <s v="CA-2014-139892"/>
    <x v="78"/>
    <x v="74"/>
    <x v="1"/>
    <x v="78"/>
    <s v="Becky Martin"/>
    <x v="0"/>
    <s v="United States"/>
    <s v="San Antonio"/>
    <s v="Texas"/>
    <n v="78207"/>
    <x v="2"/>
    <s v="OFF-AR-10002656"/>
    <x v="1"/>
    <s v="Art"/>
    <s v="Sanford Liquid Accent Highlighters"/>
    <n v="32.064"/>
    <n v="6"/>
    <x v="2"/>
    <n v="6.8136000000000001"/>
  </r>
  <r>
    <n v="170"/>
    <s v="CA-2014-139892"/>
    <x v="78"/>
    <x v="74"/>
    <x v="1"/>
    <x v="78"/>
    <s v="Becky Martin"/>
    <x v="0"/>
    <s v="United States"/>
    <s v="San Antonio"/>
    <s v="Texas"/>
    <n v="78207"/>
    <x v="2"/>
    <s v="OFF-AP-10002518"/>
    <x v="1"/>
    <s v="Appliances"/>
    <s v="Kensington 7 Outlet MasterPiece Power Center"/>
    <n v="177.98"/>
    <n v="5"/>
    <x v="3"/>
    <n v="-453.84899999999999"/>
  </r>
  <r>
    <n v="171"/>
    <s v="CA-2014-139892"/>
    <x v="78"/>
    <x v="74"/>
    <x v="1"/>
    <x v="78"/>
    <s v="Becky Martin"/>
    <x v="0"/>
    <s v="United States"/>
    <s v="San Antonio"/>
    <s v="Texas"/>
    <n v="78207"/>
    <x v="2"/>
    <s v="TEC-PH-10003931"/>
    <x v="2"/>
    <s v="Phones"/>
    <s v="JBL Micro Wireless Portable Bluetooth Speaker"/>
    <n v="143.976"/>
    <n v="3"/>
    <x v="2"/>
    <n v="8.9985000000000106"/>
  </r>
  <r>
    <n v="172"/>
    <s v="CA-2014-118962"/>
    <x v="79"/>
    <x v="75"/>
    <x v="1"/>
    <x v="79"/>
    <s v="Chad Sievert"/>
    <x v="0"/>
    <s v="United States"/>
    <s v="Los Angeles"/>
    <s v="California"/>
    <n v="90004"/>
    <x v="1"/>
    <s v="OFF-PA-10000659"/>
    <x v="1"/>
    <s v="Paper"/>
    <s v="Adams Phone Message Book, Professional, 400 Message Capacity, 5 3/6” x 11”"/>
    <n v="20.94"/>
    <n v="3"/>
    <x v="0"/>
    <n v="9.8417999999999992"/>
  </r>
  <r>
    <n v="173"/>
    <s v="CA-2014-118962"/>
    <x v="79"/>
    <x v="75"/>
    <x v="1"/>
    <x v="79"/>
    <s v="Chad Sievert"/>
    <x v="0"/>
    <s v="United States"/>
    <s v="Los Angeles"/>
    <s v="California"/>
    <n v="90004"/>
    <x v="1"/>
    <s v="OFF-PA-10001144"/>
    <x v="1"/>
    <s v="Paper"/>
    <s v="Xerox 1913"/>
    <n v="110.96"/>
    <n v="2"/>
    <x v="0"/>
    <n v="53.260800000000003"/>
  </r>
  <r>
    <n v="174"/>
    <s v="CA-2014-118962"/>
    <x v="79"/>
    <x v="75"/>
    <x v="1"/>
    <x v="79"/>
    <s v="Chad Sievert"/>
    <x v="0"/>
    <s v="United States"/>
    <s v="Los Angeles"/>
    <s v="California"/>
    <n v="90004"/>
    <x v="1"/>
    <s v="FUR-CH-10003817"/>
    <x v="0"/>
    <s v="Chairs"/>
    <s v="Global Value Steno Chair, Gray"/>
    <n v="340.14400000000001"/>
    <n v="7"/>
    <x v="2"/>
    <n v="21.259"/>
  </r>
  <r>
    <n v="175"/>
    <s v="US-2014-100853"/>
    <x v="80"/>
    <x v="76"/>
    <x v="1"/>
    <x v="80"/>
    <s v="Jennifer Braxton"/>
    <x v="1"/>
    <s v="United States"/>
    <s v="Chicago"/>
    <s v="Illinois"/>
    <n v="60623"/>
    <x v="2"/>
    <s v="OFF-AP-10000891"/>
    <x v="1"/>
    <s v="Appliances"/>
    <s v="Kensington 7 Outlet MasterPiece HOMEOFFICE Power Control Center"/>
    <n v="52.448"/>
    <n v="2"/>
    <x v="3"/>
    <n v="-131.12"/>
  </r>
  <r>
    <n v="176"/>
    <s v="US-2014-100853"/>
    <x v="80"/>
    <x v="76"/>
    <x v="1"/>
    <x v="80"/>
    <s v="Jennifer Braxton"/>
    <x v="1"/>
    <s v="United States"/>
    <s v="Chicago"/>
    <s v="Illinois"/>
    <n v="60623"/>
    <x v="2"/>
    <s v="OFF-LA-10003148"/>
    <x v="1"/>
    <s v="Labels"/>
    <s v="Avery 51"/>
    <n v="20.16"/>
    <n v="4"/>
    <x v="2"/>
    <n v="6.5519999999999996"/>
  </r>
  <r>
    <n v="177"/>
    <s v="US-2017-152366"/>
    <x v="81"/>
    <x v="77"/>
    <x v="0"/>
    <x v="81"/>
    <s v="Shirley Jackson"/>
    <x v="0"/>
    <s v="United States"/>
    <s v="Houston"/>
    <s v="Texas"/>
    <n v="77036"/>
    <x v="2"/>
    <s v="OFF-AP-10002684"/>
    <x v="1"/>
    <s v="Appliances"/>
    <s v="Acco 7-Outlet Masterpiece Power Center, Wihtout Fax/Phone Line Protection"/>
    <n v="97.263999999999996"/>
    <n v="4"/>
    <x v="3"/>
    <n v="-243.16"/>
  </r>
  <r>
    <n v="178"/>
    <s v="US-2015-101511"/>
    <x v="82"/>
    <x v="78"/>
    <x v="0"/>
    <x v="32"/>
    <s v="Joel Eaton"/>
    <x v="0"/>
    <s v="United States"/>
    <s v="Newark"/>
    <s v="Ohio"/>
    <n v="43055"/>
    <x v="3"/>
    <s v="FUR-CH-10004698"/>
    <x v="0"/>
    <s v="Chairs"/>
    <s v="Padded Folding Chairs, Black, 4/Carton"/>
    <n v="396.80200000000002"/>
    <n v="7"/>
    <x v="4"/>
    <n v="-11.3371999999999"/>
  </r>
  <r>
    <n v="179"/>
    <s v="US-2015-101511"/>
    <x v="82"/>
    <x v="78"/>
    <x v="0"/>
    <x v="32"/>
    <s v="Joel Eaton"/>
    <x v="0"/>
    <s v="United States"/>
    <s v="Newark"/>
    <s v="Ohio"/>
    <n v="43055"/>
    <x v="3"/>
    <s v="OFF-SU-10002189"/>
    <x v="1"/>
    <s v="Supplies"/>
    <s v="Acme Rosewood Handle Letter Opener"/>
    <n v="15.88"/>
    <n v="5"/>
    <x v="2"/>
    <n v="-3.7715000000000001"/>
  </r>
  <r>
    <n v="180"/>
    <s v="CA-2015-137225"/>
    <x v="83"/>
    <x v="79"/>
    <x v="1"/>
    <x v="82"/>
    <s v="Jim Kriz"/>
    <x v="2"/>
    <s v="United States"/>
    <s v="New York City"/>
    <s v="New York"/>
    <n v="10009"/>
    <x v="3"/>
    <s v="OFF-AR-10001940"/>
    <x v="1"/>
    <s v="Art"/>
    <s v="Sanford Colorific Eraseable Coloring Pencils, 12 Count"/>
    <n v="3.28"/>
    <n v="1"/>
    <x v="0"/>
    <n v="1.4104000000000001"/>
  </r>
  <r>
    <n v="181"/>
    <s v="CA-2014-166191"/>
    <x v="29"/>
    <x v="80"/>
    <x v="0"/>
    <x v="83"/>
    <s v="David Kendrick"/>
    <x v="1"/>
    <s v="United States"/>
    <s v="Decatur"/>
    <s v="Illinois"/>
    <n v="62521"/>
    <x v="2"/>
    <s v="OFF-ST-10003455"/>
    <x v="1"/>
    <s v="Storage"/>
    <s v="Tenex File Box, Personal Filing Tote with Lid, Black"/>
    <n v="24.815999999999999"/>
    <n v="2"/>
    <x v="2"/>
    <n v="1.8612"/>
  </r>
  <r>
    <n v="182"/>
    <s v="CA-2014-166191"/>
    <x v="29"/>
    <x v="80"/>
    <x v="0"/>
    <x v="83"/>
    <s v="David Kendrick"/>
    <x v="1"/>
    <s v="United States"/>
    <s v="Decatur"/>
    <s v="Illinois"/>
    <n v="62521"/>
    <x v="2"/>
    <s v="TEC-AC-10004659"/>
    <x v="2"/>
    <s v="Accessories"/>
    <s v="Imation Secure+ Hardware Encrypted USB 2.0 Flash Drive; 16GB"/>
    <n v="408.74400000000003"/>
    <n v="7"/>
    <x v="2"/>
    <n v="76.639499999999998"/>
  </r>
  <r>
    <n v="183"/>
    <s v="CA-2014-158274"/>
    <x v="84"/>
    <x v="81"/>
    <x v="0"/>
    <x v="84"/>
    <s v="Robert Marley"/>
    <x v="2"/>
    <s v="United States"/>
    <s v="Monroe"/>
    <s v="Louisiana"/>
    <n v="71203"/>
    <x v="0"/>
    <s v="TEC-PH-10003273"/>
    <x v="2"/>
    <s v="Phones"/>
    <s v="AT&amp;T TR1909W"/>
    <n v="503.96"/>
    <n v="4"/>
    <x v="0"/>
    <n v="131.02959999999999"/>
  </r>
  <r>
    <n v="184"/>
    <s v="CA-2014-158274"/>
    <x v="84"/>
    <x v="81"/>
    <x v="0"/>
    <x v="84"/>
    <s v="Robert Marley"/>
    <x v="2"/>
    <s v="United States"/>
    <s v="Monroe"/>
    <s v="Louisiana"/>
    <n v="71203"/>
    <x v="0"/>
    <s v="TEC-PH-10004896"/>
    <x v="2"/>
    <s v="Phones"/>
    <s v="Nokia Lumia 521 (T-Mobile)"/>
    <n v="149.94999999999999"/>
    <n v="5"/>
    <x v="0"/>
    <n v="41.985999999999997"/>
  </r>
  <r>
    <n v="185"/>
    <s v="CA-2014-158274"/>
    <x v="84"/>
    <x v="81"/>
    <x v="0"/>
    <x v="84"/>
    <s v="Robert Marley"/>
    <x v="2"/>
    <s v="United States"/>
    <s v="Monroe"/>
    <s v="Louisiana"/>
    <n v="71203"/>
    <x v="0"/>
    <s v="TEC-AC-10002345"/>
    <x v="2"/>
    <s v="Accessories"/>
    <s v="HP Standard 104 key PS/2 Keyboard"/>
    <n v="29"/>
    <n v="2"/>
    <x v="0"/>
    <n v="7.25"/>
  </r>
  <r>
    <n v="186"/>
    <s v="CA-2016-105018"/>
    <x v="85"/>
    <x v="82"/>
    <x v="1"/>
    <x v="85"/>
    <s v="Sally Knutson"/>
    <x v="0"/>
    <s v="United States"/>
    <s v="Fairfield"/>
    <s v="Connecticut"/>
    <n v="6824"/>
    <x v="3"/>
    <s v="OFF-BI-10001890"/>
    <x v="1"/>
    <s v="Binders"/>
    <s v="Avery Poly Binder Pockets"/>
    <n v="7.16"/>
    <n v="2"/>
    <x v="0"/>
    <n v="3.4367999999999999"/>
  </r>
  <r>
    <n v="187"/>
    <s v="CA-2014-123260"/>
    <x v="86"/>
    <x v="83"/>
    <x v="1"/>
    <x v="86"/>
    <s v="Frank Merwin"/>
    <x v="2"/>
    <s v="United States"/>
    <s v="Los Angeles"/>
    <s v="California"/>
    <n v="90032"/>
    <x v="1"/>
    <s v="TEC-AC-10002323"/>
    <x v="2"/>
    <s v="Accessories"/>
    <s v="SanDisk Ultra 32 GB MicroSDHC Class 10 Memory Card"/>
    <n v="176.8"/>
    <n v="8"/>
    <x v="0"/>
    <n v="22.984000000000002"/>
  </r>
  <r>
    <n v="188"/>
    <s v="CA-2016-157000"/>
    <x v="87"/>
    <x v="18"/>
    <x v="1"/>
    <x v="87"/>
    <s v="Alice McCarthy"/>
    <x v="1"/>
    <s v="United States"/>
    <s v="Grand Prairie"/>
    <s v="Texas"/>
    <n v="75051"/>
    <x v="2"/>
    <s v="OFF-ST-10001328"/>
    <x v="1"/>
    <s v="Storage"/>
    <s v="Personal Filing Tote with Lid, Black/Gray"/>
    <n v="37.223999999999997"/>
    <n v="3"/>
    <x v="2"/>
    <n v="3.7223999999999999"/>
  </r>
  <r>
    <n v="189"/>
    <s v="CA-2016-157000"/>
    <x v="87"/>
    <x v="18"/>
    <x v="1"/>
    <x v="87"/>
    <s v="Alice McCarthy"/>
    <x v="1"/>
    <s v="United States"/>
    <s v="Grand Prairie"/>
    <s v="Texas"/>
    <n v="75051"/>
    <x v="2"/>
    <s v="OFF-PA-10001950"/>
    <x v="1"/>
    <s v="Paper"/>
    <s v="Southworth 25% Cotton Antique Laid Paper &amp; Envelopes"/>
    <n v="20.015999999999998"/>
    <n v="3"/>
    <x v="2"/>
    <n v="6.2549999999999999"/>
  </r>
  <r>
    <n v="190"/>
    <s v="CA-2015-102281"/>
    <x v="88"/>
    <x v="84"/>
    <x v="2"/>
    <x v="88"/>
    <s v="Mark Packer"/>
    <x v="2"/>
    <s v="United States"/>
    <s v="New York City"/>
    <s v="New York"/>
    <n v="10035"/>
    <x v="3"/>
    <s v="FUR-BO-10002613"/>
    <x v="0"/>
    <s v="Bookcases"/>
    <s v="Atlantic Metals Mobile 4-Shelf Bookcases, Custom Colors"/>
    <n v="899.13599999999997"/>
    <n v="4"/>
    <x v="2"/>
    <n v="112.392"/>
  </r>
  <r>
    <n v="191"/>
    <s v="CA-2015-102281"/>
    <x v="88"/>
    <x v="84"/>
    <x v="2"/>
    <x v="88"/>
    <s v="Mark Packer"/>
    <x v="2"/>
    <s v="United States"/>
    <s v="New York City"/>
    <s v="New York"/>
    <n v="10035"/>
    <x v="3"/>
    <s v="TEC-PH-10001552"/>
    <x v="2"/>
    <s v="Phones"/>
    <s v="I Need's 3d Hello Kitty Hybrid Silicone Case Cover for HTC One X 4g with 3d Hello Kitty Stylus Pen Green/pink"/>
    <n v="71.760000000000005"/>
    <n v="6"/>
    <x v="0"/>
    <n v="20.0928"/>
  </r>
  <r>
    <n v="192"/>
    <s v="CA-2015-102281"/>
    <x v="88"/>
    <x v="84"/>
    <x v="2"/>
    <x v="88"/>
    <s v="Mark Packer"/>
    <x v="2"/>
    <s v="United States"/>
    <s v="New York City"/>
    <s v="New York"/>
    <n v="10035"/>
    <x v="3"/>
    <s v="OFF-PA-10000061"/>
    <x v="1"/>
    <s v="Paper"/>
    <s v="Xerox 205"/>
    <n v="51.84"/>
    <n v="8"/>
    <x v="0"/>
    <n v="24.883199999999999"/>
  </r>
  <r>
    <n v="193"/>
    <s v="CA-2015-102281"/>
    <x v="88"/>
    <x v="84"/>
    <x v="2"/>
    <x v="88"/>
    <s v="Mark Packer"/>
    <x v="2"/>
    <s v="United States"/>
    <s v="New York City"/>
    <s v="New York"/>
    <n v="10035"/>
    <x v="3"/>
    <s v="FUR-BO-10002545"/>
    <x v="0"/>
    <s v="Bookcases"/>
    <s v="Atlantic Metals Mobile 3-Shelf Bookcases, Custom Colors"/>
    <n v="626.35199999999998"/>
    <n v="3"/>
    <x v="2"/>
    <n v="46.976399999999998"/>
  </r>
  <r>
    <n v="194"/>
    <s v="CA-2015-102281"/>
    <x v="88"/>
    <x v="84"/>
    <x v="2"/>
    <x v="88"/>
    <s v="Mark Packer"/>
    <x v="2"/>
    <s v="United States"/>
    <s v="New York City"/>
    <s v="New York"/>
    <n v="10035"/>
    <x v="3"/>
    <s v="OFF-AR-10003514"/>
    <x v="1"/>
    <s v="Art"/>
    <s v="4009 Highlighters by Sanford"/>
    <n v="19.899999999999999"/>
    <n v="5"/>
    <x v="0"/>
    <n v="6.5670000000000002"/>
  </r>
  <r>
    <n v="195"/>
    <s v="CA-2015-131457"/>
    <x v="89"/>
    <x v="85"/>
    <x v="1"/>
    <x v="89"/>
    <s v="Mary Zewe"/>
    <x v="1"/>
    <s v="United States"/>
    <s v="Redlands"/>
    <s v="California"/>
    <n v="92374"/>
    <x v="1"/>
    <s v="OFF-EN-10001509"/>
    <x v="1"/>
    <s v="Envelopes"/>
    <s v="Poly String Tie Envelopes"/>
    <n v="14.28"/>
    <n v="7"/>
    <x v="0"/>
    <n v="6.7115999999999998"/>
  </r>
  <r>
    <n v="196"/>
    <s v="CA-2014-140004"/>
    <x v="90"/>
    <x v="86"/>
    <x v="1"/>
    <x v="90"/>
    <s v="Cassandra Brandow"/>
    <x v="0"/>
    <s v="United States"/>
    <s v="Hamilton"/>
    <s v="Ohio"/>
    <n v="45011"/>
    <x v="3"/>
    <s v="OFF-AR-10004685"/>
    <x v="1"/>
    <s v="Art"/>
    <s v="Binney &amp; Smith Crayola Metallic Colored Pencils, 8-Color Set"/>
    <n v="7.4080000000000004"/>
    <n v="2"/>
    <x v="2"/>
    <n v="1.2038"/>
  </r>
  <r>
    <n v="197"/>
    <s v="CA-2014-140004"/>
    <x v="90"/>
    <x v="86"/>
    <x v="1"/>
    <x v="90"/>
    <s v="Cassandra Brandow"/>
    <x v="0"/>
    <s v="United States"/>
    <s v="Hamilton"/>
    <s v="Ohio"/>
    <n v="45011"/>
    <x v="3"/>
    <s v="OFF-AR-10004027"/>
    <x v="1"/>
    <s v="Art"/>
    <s v="Binney &amp; Smith inkTank Erasable Desk Highlighter, Chisel Tip, Yellow, 12/Box"/>
    <n v="6.048"/>
    <n v="3"/>
    <x v="2"/>
    <n v="1.5875999999999999"/>
  </r>
  <r>
    <n v="198"/>
    <s v="CA-2017-107720"/>
    <x v="44"/>
    <x v="87"/>
    <x v="1"/>
    <x v="91"/>
    <s v="Valerie Mitchum"/>
    <x v="2"/>
    <s v="United States"/>
    <s v="Westfield"/>
    <s v="New Jersey"/>
    <n v="7090"/>
    <x v="3"/>
    <s v="OFF-ST-10001414"/>
    <x v="1"/>
    <s v="Storage"/>
    <s v="Decoflex Hanging Personal Folder File"/>
    <n v="46.26"/>
    <n v="3"/>
    <x v="0"/>
    <n v="12.0276"/>
  </r>
  <r>
    <n v="199"/>
    <s v="US-2017-124303"/>
    <x v="91"/>
    <x v="88"/>
    <x v="1"/>
    <x v="92"/>
    <s v="Fred Hopkins"/>
    <x v="1"/>
    <s v="United States"/>
    <s v="Philadelphia"/>
    <s v="Pennsylvania"/>
    <n v="19120"/>
    <x v="3"/>
    <s v="OFF-BI-10000343"/>
    <x v="1"/>
    <s v="Binders"/>
    <s v="Pressboard Covers with Storage Hooks, 9 1/2&quot; x 11&quot;, Light Blue"/>
    <n v="2.9460000000000002"/>
    <n v="2"/>
    <x v="6"/>
    <n v="-2.2585999999999999"/>
  </r>
  <r>
    <n v="200"/>
    <s v="US-2017-124303"/>
    <x v="91"/>
    <x v="88"/>
    <x v="1"/>
    <x v="92"/>
    <s v="Fred Hopkins"/>
    <x v="1"/>
    <s v="United States"/>
    <s v="Philadelphia"/>
    <s v="Pennsylvania"/>
    <n v="19120"/>
    <x v="3"/>
    <s v="OFF-PA-10002749"/>
    <x v="1"/>
    <s v="Paper"/>
    <s v="Wirebound Message Books, 5-1/2 x 4 Forms, 2 or 4 Forms per Page"/>
    <n v="16.056000000000001"/>
    <n v="3"/>
    <x v="2"/>
    <n v="5.8202999999999996"/>
  </r>
  <r>
    <n v="201"/>
    <s v="CA-2017-105074"/>
    <x v="92"/>
    <x v="89"/>
    <x v="1"/>
    <x v="93"/>
    <s v="Maria Bertelson"/>
    <x v="0"/>
    <s v="United States"/>
    <s v="Akron"/>
    <s v="Ohio"/>
    <n v="44312"/>
    <x v="3"/>
    <s v="OFF-PA-10002666"/>
    <x v="1"/>
    <s v="Paper"/>
    <s v="Southworth 25% Cotton Linen-Finish Paper &amp; Envelopes"/>
    <n v="21.744"/>
    <n v="3"/>
    <x v="2"/>
    <n v="6.7949999999999999"/>
  </r>
  <r>
    <n v="202"/>
    <s v="CA-2014-133690"/>
    <x v="93"/>
    <x v="90"/>
    <x v="2"/>
    <x v="94"/>
    <s v="Bruce Stewart"/>
    <x v="0"/>
    <s v="United States"/>
    <s v="Denver"/>
    <s v="Colorado"/>
    <n v="80219"/>
    <x v="1"/>
    <s v="FUR-TA-10004289"/>
    <x v="0"/>
    <s v="Tables"/>
    <s v="BoxOffice By Design Rectangular and Half-Moon Meeting Room Tables"/>
    <n v="218.75"/>
    <n v="2"/>
    <x v="5"/>
    <n v="-161.875"/>
  </r>
  <r>
    <n v="203"/>
    <s v="CA-2014-133690"/>
    <x v="93"/>
    <x v="90"/>
    <x v="2"/>
    <x v="94"/>
    <s v="Bruce Stewart"/>
    <x v="0"/>
    <s v="United States"/>
    <s v="Denver"/>
    <s v="Colorado"/>
    <n v="80219"/>
    <x v="1"/>
    <s v="OFF-AP-10003622"/>
    <x v="1"/>
    <s v="Appliances"/>
    <s v="Bravo II Megaboss 12-Amp Hard Body Upright, Replacement Belts, 2 Belts per Pack"/>
    <n v="2.6"/>
    <n v="1"/>
    <x v="2"/>
    <n v="0.29249999999999998"/>
  </r>
  <r>
    <n v="204"/>
    <s v="US-2017-116701"/>
    <x v="94"/>
    <x v="91"/>
    <x v="0"/>
    <x v="95"/>
    <s v="Logan Currie"/>
    <x v="0"/>
    <s v="United States"/>
    <s v="Dallas"/>
    <s v="Texas"/>
    <n v="75220"/>
    <x v="2"/>
    <s v="OFF-AP-10003217"/>
    <x v="1"/>
    <s v="Appliances"/>
    <s v="Eureka Sanitaire  Commercial Upright"/>
    <n v="66.284000000000006"/>
    <n v="2"/>
    <x v="3"/>
    <n v="-178.96680000000001"/>
  </r>
  <r>
    <n v="205"/>
    <s v="CA-2017-126382"/>
    <x v="95"/>
    <x v="92"/>
    <x v="1"/>
    <x v="96"/>
    <s v="Heather Kirkland"/>
    <x v="1"/>
    <s v="United States"/>
    <s v="Franklin"/>
    <s v="Tennessee"/>
    <n v="37064"/>
    <x v="0"/>
    <s v="FUR-FU-10002960"/>
    <x v="0"/>
    <s v="Furnishings"/>
    <s v="Eldon 200 Class Desk Accessories, Burgundy"/>
    <n v="35.167999999999999"/>
    <n v="7"/>
    <x v="2"/>
    <n v="9.6712000000000007"/>
  </r>
  <r>
    <n v="206"/>
    <s v="CA-2017-108329"/>
    <x v="34"/>
    <x v="93"/>
    <x v="1"/>
    <x v="97"/>
    <s v="Laurel Elliston"/>
    <x v="0"/>
    <s v="United States"/>
    <s v="Whittier"/>
    <s v="California"/>
    <n v="90604"/>
    <x v="1"/>
    <s v="TEC-PH-10001918"/>
    <x v="2"/>
    <s v="Phones"/>
    <s v="Nortel Business Series Terminal T7208 Digital phone"/>
    <n v="444.76799999999997"/>
    <n v="4"/>
    <x v="2"/>
    <n v="44.476799999999997"/>
  </r>
  <r>
    <n v="207"/>
    <s v="CA-2017-135860"/>
    <x v="96"/>
    <x v="94"/>
    <x v="1"/>
    <x v="98"/>
    <s v="Joseph Holt"/>
    <x v="0"/>
    <s v="United States"/>
    <s v="Saginaw"/>
    <s v="Michigan"/>
    <n v="48601"/>
    <x v="2"/>
    <s v="OFF-ST-10000642"/>
    <x v="1"/>
    <s v="Storage"/>
    <s v="Tennsco Lockers, Gray"/>
    <n v="83.92"/>
    <n v="4"/>
    <x v="0"/>
    <n v="5.8743999999999899"/>
  </r>
  <r>
    <n v="208"/>
    <s v="CA-2017-135860"/>
    <x v="96"/>
    <x v="94"/>
    <x v="1"/>
    <x v="98"/>
    <s v="Joseph Holt"/>
    <x v="0"/>
    <s v="United States"/>
    <s v="Saginaw"/>
    <s v="Michigan"/>
    <n v="48601"/>
    <x v="2"/>
    <s v="TEC-PH-10001700"/>
    <x v="2"/>
    <s v="Phones"/>
    <s v="Panasonic KX-TG6844B Expandable Digital Cordless Telephone"/>
    <n v="131.97999999999999"/>
    <n v="2"/>
    <x v="0"/>
    <n v="35.634599999999999"/>
  </r>
  <r>
    <n v="209"/>
    <s v="CA-2017-135860"/>
    <x v="96"/>
    <x v="94"/>
    <x v="1"/>
    <x v="98"/>
    <s v="Joseph Holt"/>
    <x v="0"/>
    <s v="United States"/>
    <s v="Saginaw"/>
    <s v="Michigan"/>
    <n v="48601"/>
    <x v="2"/>
    <s v="OFF-BI-10003274"/>
    <x v="1"/>
    <s v="Binders"/>
    <s v="Avery Durable Slant Ring Binders, No Labels"/>
    <n v="15.92"/>
    <n v="4"/>
    <x v="0"/>
    <n v="7.4824000000000002"/>
  </r>
  <r>
    <n v="210"/>
    <s v="CA-2017-135860"/>
    <x v="96"/>
    <x v="94"/>
    <x v="1"/>
    <x v="98"/>
    <s v="Joseph Holt"/>
    <x v="0"/>
    <s v="United States"/>
    <s v="Saginaw"/>
    <s v="Michigan"/>
    <n v="48601"/>
    <x v="2"/>
    <s v="OFF-FA-10000134"/>
    <x v="1"/>
    <s v="Fasteners"/>
    <s v="Advantus Push Pins, Aluminum Head"/>
    <n v="52.29"/>
    <n v="9"/>
    <x v="0"/>
    <n v="16.209900000000001"/>
  </r>
  <r>
    <n v="211"/>
    <s v="CA-2017-135860"/>
    <x v="96"/>
    <x v="94"/>
    <x v="1"/>
    <x v="98"/>
    <s v="Joseph Holt"/>
    <x v="0"/>
    <s v="United States"/>
    <s v="Saginaw"/>
    <s v="Michigan"/>
    <n v="48601"/>
    <x v="2"/>
    <s v="OFF-ST-10001522"/>
    <x v="1"/>
    <s v="Storage"/>
    <s v="Gould Plastics 18-Pocket Panel Bin, 34w x 5-1/4d x 20-1/2h"/>
    <n v="91.99"/>
    <n v="1"/>
    <x v="0"/>
    <n v="3.67959999999999"/>
  </r>
  <r>
    <n v="212"/>
    <s v="CA-2015-101007"/>
    <x v="97"/>
    <x v="95"/>
    <x v="0"/>
    <x v="99"/>
    <s v="Michael Stewart"/>
    <x v="1"/>
    <s v="United States"/>
    <s v="Dallas"/>
    <s v="Texas"/>
    <n v="75220"/>
    <x v="2"/>
    <s v="TEC-AC-10001266"/>
    <x v="2"/>
    <s v="Accessories"/>
    <s v="Memorex Micro Travel Drive 8 GB"/>
    <n v="20.8"/>
    <n v="2"/>
    <x v="2"/>
    <n v="6.5"/>
  </r>
  <r>
    <n v="213"/>
    <s v="CA-2015-146262"/>
    <x v="98"/>
    <x v="96"/>
    <x v="1"/>
    <x v="100"/>
    <s v="Victoria Wilson"/>
    <x v="1"/>
    <s v="United States"/>
    <s v="Medina"/>
    <s v="Ohio"/>
    <n v="44256"/>
    <x v="3"/>
    <s v="OFF-LA-10004544"/>
    <x v="1"/>
    <s v="Labels"/>
    <s v="Avery 505"/>
    <n v="23.68"/>
    <n v="2"/>
    <x v="2"/>
    <n v="8.8800000000000008"/>
  </r>
  <r>
    <n v="214"/>
    <s v="CA-2015-146262"/>
    <x v="98"/>
    <x v="96"/>
    <x v="1"/>
    <x v="100"/>
    <s v="Victoria Wilson"/>
    <x v="1"/>
    <s v="United States"/>
    <s v="Medina"/>
    <s v="Ohio"/>
    <n v="44256"/>
    <x v="3"/>
    <s v="FUR-BO-10004695"/>
    <x v="0"/>
    <s v="Bookcases"/>
    <s v="O'Sullivan 2-Door Barrister Bookcase in Odessa Pine"/>
    <n v="452.45"/>
    <n v="5"/>
    <x v="5"/>
    <n v="-244.32300000000001"/>
  </r>
  <r>
    <n v="215"/>
    <s v="CA-2015-146262"/>
    <x v="98"/>
    <x v="96"/>
    <x v="1"/>
    <x v="100"/>
    <s v="Victoria Wilson"/>
    <x v="1"/>
    <s v="United States"/>
    <s v="Medina"/>
    <s v="Ohio"/>
    <n v="44256"/>
    <x v="3"/>
    <s v="TEC-PH-10002844"/>
    <x v="2"/>
    <s v="Phones"/>
    <s v="Speck Products Candyshell Flip Case"/>
    <n v="62.981999999999999"/>
    <n v="3"/>
    <x v="10"/>
    <n v="-14.6958"/>
  </r>
  <r>
    <n v="216"/>
    <s v="CA-2015-146262"/>
    <x v="98"/>
    <x v="96"/>
    <x v="1"/>
    <x v="100"/>
    <s v="Victoria Wilson"/>
    <x v="1"/>
    <s v="United States"/>
    <s v="Medina"/>
    <s v="Ohio"/>
    <n v="44256"/>
    <x v="3"/>
    <s v="TEC-MA-10000864"/>
    <x v="2"/>
    <s v="Machines"/>
    <s v="Cisco 9971 IP Video Phone Charcoal"/>
    <n v="1188"/>
    <n v="9"/>
    <x v="6"/>
    <n v="-950.4"/>
  </r>
  <r>
    <n v="217"/>
    <s v="CA-2015-146262"/>
    <x v="98"/>
    <x v="96"/>
    <x v="1"/>
    <x v="100"/>
    <s v="Victoria Wilson"/>
    <x v="1"/>
    <s v="United States"/>
    <s v="Medina"/>
    <s v="Ohio"/>
    <n v="44256"/>
    <x v="3"/>
    <s v="TEC-AC-10000109"/>
    <x v="2"/>
    <s v="Accessories"/>
    <s v="Sony Micro Vault Click 16 GB USB 2.0 Flash Drive"/>
    <n v="89.584000000000003"/>
    <n v="2"/>
    <x v="2"/>
    <n v="4.4792000000000103"/>
  </r>
  <r>
    <n v="218"/>
    <s v="CA-2016-130162"/>
    <x v="99"/>
    <x v="97"/>
    <x v="1"/>
    <x v="101"/>
    <s v="Jonathan Howell"/>
    <x v="0"/>
    <s v="United States"/>
    <s v="Los Angeles"/>
    <s v="California"/>
    <n v="90032"/>
    <x v="1"/>
    <s v="OFF-ST-10001328"/>
    <x v="1"/>
    <s v="Storage"/>
    <s v="Personal Filing Tote with Lid, Black/Gray"/>
    <n v="93.06"/>
    <n v="6"/>
    <x v="0"/>
    <n v="26.056799999999999"/>
  </r>
  <r>
    <n v="219"/>
    <s v="CA-2016-130162"/>
    <x v="99"/>
    <x v="97"/>
    <x v="1"/>
    <x v="101"/>
    <s v="Jonathan Howell"/>
    <x v="0"/>
    <s v="United States"/>
    <s v="Los Angeles"/>
    <s v="California"/>
    <n v="90032"/>
    <x v="1"/>
    <s v="TEC-PH-10002563"/>
    <x v="2"/>
    <s v="Phones"/>
    <s v="Adtran 1202752G1"/>
    <n v="302.37599999999998"/>
    <n v="3"/>
    <x v="2"/>
    <n v="22.6782"/>
  </r>
  <r>
    <n v="220"/>
    <s v="CA-2015-169397"/>
    <x v="100"/>
    <x v="98"/>
    <x v="2"/>
    <x v="102"/>
    <s v="Joni Blumstein"/>
    <x v="0"/>
    <s v="United States"/>
    <s v="Dublin"/>
    <s v="Ohio"/>
    <n v="43017"/>
    <x v="3"/>
    <s v="OFF-FA-10000585"/>
    <x v="1"/>
    <s v="Fasteners"/>
    <s v="OIC Bulk Pack Metal Binder Clips"/>
    <n v="5.5839999999999996"/>
    <n v="2"/>
    <x v="2"/>
    <n v="1.8148"/>
  </r>
  <r>
    <n v="221"/>
    <s v="CA-2015-169397"/>
    <x v="100"/>
    <x v="98"/>
    <x v="2"/>
    <x v="102"/>
    <s v="Joni Blumstein"/>
    <x v="0"/>
    <s v="United States"/>
    <s v="Dublin"/>
    <s v="Ohio"/>
    <n v="43017"/>
    <x v="3"/>
    <s v="OFF-PA-10004000"/>
    <x v="1"/>
    <s v="Paper"/>
    <s v="While You Were Out Pads, 50 per Pad, 4 x 5 1/4, Green Cycle"/>
    <n v="22.704000000000001"/>
    <n v="6"/>
    <x v="2"/>
    <n v="8.2302"/>
  </r>
  <r>
    <n v="222"/>
    <s v="CA-2015-169397"/>
    <x v="100"/>
    <x v="98"/>
    <x v="2"/>
    <x v="102"/>
    <s v="Joni Blumstein"/>
    <x v="0"/>
    <s v="United States"/>
    <s v="Dublin"/>
    <s v="Ohio"/>
    <n v="43017"/>
    <x v="3"/>
    <s v="OFF-BI-10002852"/>
    <x v="1"/>
    <s v="Binders"/>
    <s v="Ibico Standard Transparent Covers"/>
    <n v="19.776"/>
    <n v="4"/>
    <x v="6"/>
    <n v="-13.8432"/>
  </r>
  <r>
    <n v="223"/>
    <s v="CA-2015-169397"/>
    <x v="100"/>
    <x v="98"/>
    <x v="2"/>
    <x v="102"/>
    <s v="Joni Blumstein"/>
    <x v="0"/>
    <s v="United States"/>
    <s v="Dublin"/>
    <s v="Ohio"/>
    <n v="43017"/>
    <x v="3"/>
    <s v="FUR-FU-10000087"/>
    <x v="0"/>
    <s v="Furnishings"/>
    <s v="Executive Impressions 14&quot; Two-Color Numerals Wall Clock"/>
    <n v="72.703999999999994"/>
    <n v="4"/>
    <x v="2"/>
    <n v="19.084800000000001"/>
  </r>
  <r>
    <n v="224"/>
    <s v="CA-2015-169397"/>
    <x v="100"/>
    <x v="98"/>
    <x v="2"/>
    <x v="102"/>
    <s v="Joni Blumstein"/>
    <x v="0"/>
    <s v="United States"/>
    <s v="Dublin"/>
    <s v="Ohio"/>
    <n v="43017"/>
    <x v="3"/>
    <s v="TEC-MA-10001148"/>
    <x v="2"/>
    <s v="Machines"/>
    <s v="Swingline SM12-08 MicroCut Jam Free Shredder"/>
    <n v="479.988"/>
    <n v="4"/>
    <x v="6"/>
    <n v="-383.99040000000002"/>
  </r>
  <r>
    <n v="225"/>
    <s v="CA-2015-169397"/>
    <x v="100"/>
    <x v="98"/>
    <x v="2"/>
    <x v="102"/>
    <s v="Joni Blumstein"/>
    <x v="0"/>
    <s v="United States"/>
    <s v="Dublin"/>
    <s v="Ohio"/>
    <n v="43017"/>
    <x v="3"/>
    <s v="OFF-AR-10001958"/>
    <x v="1"/>
    <s v="Art"/>
    <s v="Stanley Bostitch Contemporary Electric Pencil Sharpeners"/>
    <n v="27.167999999999999"/>
    <n v="2"/>
    <x v="2"/>
    <n v="2.7168000000000001"/>
  </r>
  <r>
    <n v="226"/>
    <s v="CA-2015-163055"/>
    <x v="101"/>
    <x v="99"/>
    <x v="1"/>
    <x v="103"/>
    <s v="David Smith"/>
    <x v="1"/>
    <s v="United States"/>
    <s v="Detroit"/>
    <s v="Michigan"/>
    <n v="48227"/>
    <x v="2"/>
    <s v="OFF-AR-10001026"/>
    <x v="1"/>
    <s v="Art"/>
    <s v="Sanford Uni-Blazer View Highlighters, Chisel Tip, Yellow"/>
    <n v="2.2000000000000002"/>
    <n v="1"/>
    <x v="0"/>
    <n v="0.96799999999999997"/>
  </r>
  <r>
    <n v="227"/>
    <s v="CA-2015-163055"/>
    <x v="101"/>
    <x v="99"/>
    <x v="1"/>
    <x v="103"/>
    <s v="David Smith"/>
    <x v="1"/>
    <s v="United States"/>
    <s v="Detroit"/>
    <s v="Michigan"/>
    <n v="48227"/>
    <x v="2"/>
    <s v="FUR-TA-10003748"/>
    <x v="0"/>
    <s v="Tables"/>
    <s v="Bevis 36 x 72 Conference Tables"/>
    <n v="622.45000000000005"/>
    <n v="5"/>
    <x v="0"/>
    <n v="136.93899999999999"/>
  </r>
  <r>
    <n v="228"/>
    <s v="CA-2015-163055"/>
    <x v="101"/>
    <x v="99"/>
    <x v="1"/>
    <x v="103"/>
    <s v="David Smith"/>
    <x v="1"/>
    <s v="United States"/>
    <s v="Detroit"/>
    <s v="Michigan"/>
    <n v="48227"/>
    <x v="2"/>
    <s v="OFF-ST-10002485"/>
    <x v="1"/>
    <s v="Storage"/>
    <s v="Rogers Deluxe File Chest"/>
    <n v="21.98"/>
    <n v="1"/>
    <x v="0"/>
    <n v="0.219799999999999"/>
  </r>
  <r>
    <n v="229"/>
    <s v="US-2015-145436"/>
    <x v="102"/>
    <x v="100"/>
    <x v="1"/>
    <x v="104"/>
    <s v="Valerie Dominguez"/>
    <x v="0"/>
    <s v="United States"/>
    <s v="Columbia"/>
    <s v="Tennessee"/>
    <n v="38401"/>
    <x v="0"/>
    <s v="FUR-CH-10004860"/>
    <x v="0"/>
    <s v="Chairs"/>
    <s v="Global Low Back Tilter Chair"/>
    <n v="161.56800000000001"/>
    <n v="2"/>
    <x v="2"/>
    <n v="-28.2744"/>
  </r>
  <r>
    <n v="230"/>
    <s v="US-2015-145436"/>
    <x v="102"/>
    <x v="100"/>
    <x v="1"/>
    <x v="104"/>
    <s v="Valerie Dominguez"/>
    <x v="0"/>
    <s v="United States"/>
    <s v="Columbia"/>
    <s v="Tennessee"/>
    <n v="38401"/>
    <x v="0"/>
    <s v="FUR-CH-10004477"/>
    <x v="0"/>
    <s v="Chairs"/>
    <s v="Global Push Button Manager's Chair, Indigo"/>
    <n v="389.69600000000003"/>
    <n v="8"/>
    <x v="2"/>
    <n v="43.840800000000002"/>
  </r>
  <r>
    <n v="231"/>
    <s v="US-2014-156216"/>
    <x v="103"/>
    <x v="101"/>
    <x v="1"/>
    <x v="105"/>
    <s v="Erin Ashbrook"/>
    <x v="1"/>
    <s v="United States"/>
    <s v="Charlotte"/>
    <s v="North Carolina"/>
    <n v="28205"/>
    <x v="0"/>
    <s v="OFF-BI-10001679"/>
    <x v="1"/>
    <s v="Binders"/>
    <s v="GBC Instant Index System for Binding Systems"/>
    <n v="18.648"/>
    <n v="7"/>
    <x v="6"/>
    <n v="-12.432"/>
  </r>
  <r>
    <n v="232"/>
    <s v="US-2017-100930"/>
    <x v="104"/>
    <x v="102"/>
    <x v="1"/>
    <x v="37"/>
    <s v="Christopher Schild"/>
    <x v="2"/>
    <s v="United States"/>
    <s v="Tampa"/>
    <s v="Florida"/>
    <n v="33614"/>
    <x v="0"/>
    <s v="FUR-TA-10001705"/>
    <x v="0"/>
    <s v="Tables"/>
    <s v="Bush Advantage Collection Round Conference Table"/>
    <n v="233.86"/>
    <n v="2"/>
    <x v="1"/>
    <n v="-102.048"/>
  </r>
  <r>
    <n v="233"/>
    <s v="US-2017-100930"/>
    <x v="104"/>
    <x v="102"/>
    <x v="1"/>
    <x v="37"/>
    <s v="Christopher Schild"/>
    <x v="2"/>
    <s v="United States"/>
    <s v="Tampa"/>
    <s v="Florida"/>
    <n v="33614"/>
    <x v="0"/>
    <s v="FUR-TA-10003473"/>
    <x v="0"/>
    <s v="Tables"/>
    <s v="Bretford Rectangular Conference Table Tops"/>
    <n v="620.61450000000002"/>
    <n v="3"/>
    <x v="1"/>
    <n v="-248.2458"/>
  </r>
  <r>
    <n v="234"/>
    <s v="US-2017-100930"/>
    <x v="104"/>
    <x v="102"/>
    <x v="1"/>
    <x v="37"/>
    <s v="Christopher Schild"/>
    <x v="2"/>
    <s v="United States"/>
    <s v="Tampa"/>
    <s v="Florida"/>
    <n v="33614"/>
    <x v="0"/>
    <s v="OFF-BI-10001679"/>
    <x v="1"/>
    <s v="Binders"/>
    <s v="GBC Instant Index System for Binding Systems"/>
    <n v="5.3280000000000003"/>
    <n v="2"/>
    <x v="6"/>
    <n v="-3.552"/>
  </r>
  <r>
    <n v="235"/>
    <s v="US-2017-100930"/>
    <x v="104"/>
    <x v="102"/>
    <x v="1"/>
    <x v="37"/>
    <s v="Christopher Schild"/>
    <x v="2"/>
    <s v="United States"/>
    <s v="Tampa"/>
    <s v="Florida"/>
    <n v="33614"/>
    <x v="0"/>
    <s v="FUR-FU-10004017"/>
    <x v="0"/>
    <s v="Furnishings"/>
    <s v="Tenex Contemporary Contur Chairmats for Low and Medium Pile Carpet, Computer, 39&quot; x 49&quot;"/>
    <n v="258.072"/>
    <n v="3"/>
    <x v="2"/>
    <n v="0"/>
  </r>
  <r>
    <n v="236"/>
    <s v="US-2017-100930"/>
    <x v="104"/>
    <x v="102"/>
    <x v="1"/>
    <x v="37"/>
    <s v="Christopher Schild"/>
    <x v="2"/>
    <s v="United States"/>
    <s v="Tampa"/>
    <s v="Florida"/>
    <n v="33614"/>
    <x v="0"/>
    <s v="TEC-AC-10003832"/>
    <x v="2"/>
    <s v="Accessories"/>
    <s v="Logitech P710e Mobile Speakerphone"/>
    <n v="617.976"/>
    <n v="3"/>
    <x v="2"/>
    <n v="-7.7247000000000998"/>
  </r>
  <r>
    <n v="237"/>
    <s v="CA-2017-160514"/>
    <x v="105"/>
    <x v="38"/>
    <x v="1"/>
    <x v="106"/>
    <s v="David Bremer"/>
    <x v="1"/>
    <s v="United States"/>
    <s v="Santa Clara"/>
    <s v="California"/>
    <n v="95051"/>
    <x v="1"/>
    <s v="OFF-PA-10002479"/>
    <x v="1"/>
    <s v="Paper"/>
    <s v="Xerox 4200 Series MultiUse Premium Copy Paper (20Lb. and 84 Bright)"/>
    <n v="10.56"/>
    <n v="2"/>
    <x v="0"/>
    <n v="4.7519999999999998"/>
  </r>
  <r>
    <n v="238"/>
    <s v="CA-2016-157749"/>
    <x v="30"/>
    <x v="103"/>
    <x v="0"/>
    <x v="107"/>
    <s v="Ken Lonsdale"/>
    <x v="0"/>
    <s v="United States"/>
    <s v="Chicago"/>
    <s v="Illinois"/>
    <n v="60610"/>
    <x v="2"/>
    <s v="OFF-PA-10003349"/>
    <x v="1"/>
    <s v="Paper"/>
    <s v="Xerox 1957"/>
    <n v="25.92"/>
    <n v="5"/>
    <x v="2"/>
    <n v="9.3960000000000008"/>
  </r>
  <r>
    <n v="239"/>
    <s v="CA-2016-157749"/>
    <x v="30"/>
    <x v="103"/>
    <x v="0"/>
    <x v="107"/>
    <s v="Ken Lonsdale"/>
    <x v="0"/>
    <s v="United States"/>
    <s v="Chicago"/>
    <s v="Illinois"/>
    <n v="60610"/>
    <x v="2"/>
    <s v="FUR-FU-10000576"/>
    <x v="0"/>
    <s v="Furnishings"/>
    <s v="Luxo Professional Fluorescent Magnifier Lamp with Clamp-Mount Base"/>
    <n v="419.68"/>
    <n v="5"/>
    <x v="7"/>
    <n v="-356.72800000000001"/>
  </r>
  <r>
    <n v="240"/>
    <s v="CA-2016-157749"/>
    <x v="30"/>
    <x v="103"/>
    <x v="0"/>
    <x v="107"/>
    <s v="Ken Lonsdale"/>
    <x v="0"/>
    <s v="United States"/>
    <s v="Chicago"/>
    <s v="Illinois"/>
    <n v="60610"/>
    <x v="2"/>
    <s v="FUR-FU-10004351"/>
    <x v="0"/>
    <s v="Furnishings"/>
    <s v="Staple-based wall hangings"/>
    <n v="11.688000000000001"/>
    <n v="3"/>
    <x v="7"/>
    <n v="-4.6752000000000002"/>
  </r>
  <r>
    <n v="241"/>
    <s v="CA-2016-157749"/>
    <x v="30"/>
    <x v="103"/>
    <x v="0"/>
    <x v="107"/>
    <s v="Ken Lonsdale"/>
    <x v="0"/>
    <s v="United States"/>
    <s v="Chicago"/>
    <s v="Illinois"/>
    <n v="60610"/>
    <x v="2"/>
    <s v="TEC-PH-10000011"/>
    <x v="2"/>
    <s v="Phones"/>
    <s v="PureGear Roll-On Screen Protector"/>
    <n v="31.984000000000002"/>
    <n v="2"/>
    <x v="2"/>
    <n v="11.1944"/>
  </r>
  <r>
    <n v="242"/>
    <s v="CA-2016-157749"/>
    <x v="30"/>
    <x v="103"/>
    <x v="0"/>
    <x v="107"/>
    <s v="Ken Lonsdale"/>
    <x v="0"/>
    <s v="United States"/>
    <s v="Chicago"/>
    <s v="Illinois"/>
    <n v="60610"/>
    <x v="2"/>
    <s v="FUR-TA-10002607"/>
    <x v="0"/>
    <s v="Tables"/>
    <s v="KI Conference Tables"/>
    <n v="177.22499999999999"/>
    <n v="5"/>
    <x v="5"/>
    <n v="-120.51300000000001"/>
  </r>
  <r>
    <n v="243"/>
    <s v="CA-2016-157749"/>
    <x v="30"/>
    <x v="103"/>
    <x v="0"/>
    <x v="107"/>
    <s v="Ken Lonsdale"/>
    <x v="0"/>
    <s v="United States"/>
    <s v="Chicago"/>
    <s v="Illinois"/>
    <n v="60610"/>
    <x v="2"/>
    <s v="FUR-FU-10002505"/>
    <x v="0"/>
    <s v="Furnishings"/>
    <s v="Eldon 100 Class Desk Accessories"/>
    <n v="4.0439999999999996"/>
    <n v="3"/>
    <x v="7"/>
    <n v="-2.8308"/>
  </r>
  <r>
    <n v="244"/>
    <s v="CA-2016-157749"/>
    <x v="30"/>
    <x v="103"/>
    <x v="0"/>
    <x v="107"/>
    <s v="Ken Lonsdale"/>
    <x v="0"/>
    <s v="United States"/>
    <s v="Chicago"/>
    <s v="Illinois"/>
    <n v="60610"/>
    <x v="2"/>
    <s v="OFF-AR-10004685"/>
    <x v="1"/>
    <s v="Art"/>
    <s v="Binney &amp; Smith Crayola Metallic Colored Pencils, 8-Color Set"/>
    <n v="7.4080000000000004"/>
    <n v="2"/>
    <x v="2"/>
    <n v="1.2038"/>
  </r>
  <r>
    <n v="245"/>
    <s v="CA-2014-131926"/>
    <x v="106"/>
    <x v="104"/>
    <x v="0"/>
    <x v="108"/>
    <s v="Dianna Wilson"/>
    <x v="2"/>
    <s v="United States"/>
    <s v="Lakeville"/>
    <s v="Minnesota"/>
    <n v="55044"/>
    <x v="2"/>
    <s v="FUR-CH-10004063"/>
    <x v="0"/>
    <s v="Chairs"/>
    <s v="Global Deluxe High-Back Manager's Chair"/>
    <n v="2001.86"/>
    <n v="7"/>
    <x v="0"/>
    <n v="580.5394"/>
  </r>
  <r>
    <n v="246"/>
    <s v="CA-2014-131926"/>
    <x v="106"/>
    <x v="104"/>
    <x v="0"/>
    <x v="108"/>
    <s v="Dianna Wilson"/>
    <x v="2"/>
    <s v="United States"/>
    <s v="Lakeville"/>
    <s v="Minnesota"/>
    <n v="55044"/>
    <x v="2"/>
    <s v="OFF-ST-10002276"/>
    <x v="1"/>
    <s v="Storage"/>
    <s v="Safco Steel Mobile File Cart"/>
    <n v="166.72"/>
    <n v="2"/>
    <x v="0"/>
    <n v="41.68"/>
  </r>
  <r>
    <n v="247"/>
    <s v="CA-2014-131926"/>
    <x v="106"/>
    <x v="104"/>
    <x v="0"/>
    <x v="108"/>
    <s v="Dianna Wilson"/>
    <x v="2"/>
    <s v="United States"/>
    <s v="Lakeville"/>
    <s v="Minnesota"/>
    <n v="55044"/>
    <x v="2"/>
    <s v="OFF-PA-10004082"/>
    <x v="1"/>
    <s v="Paper"/>
    <s v="Adams Telephone Message Book w/Frequently-Called Numbers Space, 400 Messages per Book"/>
    <n v="47.88"/>
    <n v="6"/>
    <x v="0"/>
    <n v="23.94"/>
  </r>
  <r>
    <n v="248"/>
    <s v="CA-2014-131926"/>
    <x v="106"/>
    <x v="104"/>
    <x v="0"/>
    <x v="108"/>
    <s v="Dianna Wilson"/>
    <x v="2"/>
    <s v="United States"/>
    <s v="Lakeville"/>
    <s v="Minnesota"/>
    <n v="55044"/>
    <x v="2"/>
    <s v="OFF-AP-10002945"/>
    <x v="1"/>
    <s v="Appliances"/>
    <s v="Honeywell Enviracaire Portable HEPA Air Cleaner for 17' x 22' Room"/>
    <n v="1503.25"/>
    <n v="5"/>
    <x v="0"/>
    <n v="496.07249999999999"/>
  </r>
  <r>
    <n v="249"/>
    <s v="CA-2014-131926"/>
    <x v="106"/>
    <x v="104"/>
    <x v="0"/>
    <x v="108"/>
    <s v="Dianna Wilson"/>
    <x v="2"/>
    <s v="United States"/>
    <s v="Lakeville"/>
    <s v="Minnesota"/>
    <n v="55044"/>
    <x v="2"/>
    <s v="OFF-PA-10000061"/>
    <x v="1"/>
    <s v="Paper"/>
    <s v="Xerox 205"/>
    <n v="25.92"/>
    <n v="4"/>
    <x v="0"/>
    <n v="12.441599999999999"/>
  </r>
  <r>
    <n v="250"/>
    <s v="CA-2016-154739"/>
    <x v="107"/>
    <x v="105"/>
    <x v="0"/>
    <x v="109"/>
    <s v="Logan Haushalter"/>
    <x v="0"/>
    <s v="United States"/>
    <s v="San Francisco"/>
    <s v="California"/>
    <n v="94109"/>
    <x v="1"/>
    <s v="FUR-CH-10002965"/>
    <x v="0"/>
    <s v="Chairs"/>
    <s v="Global Leather Highback Executive Chair with Pneumatic Height Adjustment, Black"/>
    <n v="321.56799999999998"/>
    <n v="2"/>
    <x v="2"/>
    <n v="28.1372"/>
  </r>
  <r>
    <n v="251"/>
    <s v="CA-2016-145625"/>
    <x v="108"/>
    <x v="106"/>
    <x v="1"/>
    <x v="110"/>
    <s v="Kelly Collister"/>
    <x v="0"/>
    <s v="United States"/>
    <s v="San Diego"/>
    <s v="California"/>
    <n v="92037"/>
    <x v="1"/>
    <s v="OFF-PA-10004569"/>
    <x v="1"/>
    <s v="Paper"/>
    <s v="Wirebound Message Books, Two 4 1/4&quot; x 5&quot; Forms per Page"/>
    <n v="7.61"/>
    <n v="1"/>
    <x v="0"/>
    <n v="3.5767000000000002"/>
  </r>
  <r>
    <n v="252"/>
    <s v="CA-2016-145625"/>
    <x v="108"/>
    <x v="106"/>
    <x v="1"/>
    <x v="110"/>
    <s v="Kelly Collister"/>
    <x v="0"/>
    <s v="United States"/>
    <s v="San Diego"/>
    <s v="California"/>
    <n v="92037"/>
    <x v="1"/>
    <s v="TEC-AC-10003832"/>
    <x v="2"/>
    <s v="Accessories"/>
    <s v="Logitech P710e Mobile Speakerphone"/>
    <n v="3347.37"/>
    <n v="13"/>
    <x v="0"/>
    <n v="636.00030000000004"/>
  </r>
  <r>
    <n v="253"/>
    <s v="CA-2016-146941"/>
    <x v="107"/>
    <x v="10"/>
    <x v="2"/>
    <x v="111"/>
    <s v="Delfina Latchford"/>
    <x v="0"/>
    <s v="United States"/>
    <s v="New York City"/>
    <s v="New York"/>
    <n v="10024"/>
    <x v="3"/>
    <s v="OFF-ST-10001228"/>
    <x v="1"/>
    <s v="Storage"/>
    <s v="Fellowes Personal Hanging Folder Files, Navy"/>
    <n v="80.58"/>
    <n v="6"/>
    <x v="0"/>
    <n v="22.5624"/>
  </r>
  <r>
    <n v="254"/>
    <s v="CA-2016-146941"/>
    <x v="107"/>
    <x v="10"/>
    <x v="2"/>
    <x v="111"/>
    <s v="Delfina Latchford"/>
    <x v="0"/>
    <s v="United States"/>
    <s v="New York City"/>
    <s v="New York"/>
    <n v="10024"/>
    <x v="3"/>
    <s v="OFF-EN-10003296"/>
    <x v="1"/>
    <s v="Envelopes"/>
    <s v="Tyvek Side-Opening Peel &amp; Seel Expanding Envelopes"/>
    <n v="361.92"/>
    <n v="4"/>
    <x v="0"/>
    <n v="162.864"/>
  </r>
  <r>
    <n v="255"/>
    <s v="US-2015-159982"/>
    <x v="109"/>
    <x v="107"/>
    <x v="1"/>
    <x v="112"/>
    <s v="Dan Reichenbach"/>
    <x v="1"/>
    <s v="United States"/>
    <s v="Chicago"/>
    <s v="Illinois"/>
    <n v="60623"/>
    <x v="2"/>
    <s v="FUR-FU-10002505"/>
    <x v="0"/>
    <s v="Furnishings"/>
    <s v="Eldon 100 Class Desk Accessories"/>
    <n v="12.132"/>
    <n v="9"/>
    <x v="7"/>
    <n v="-8.4923999999999999"/>
  </r>
  <r>
    <n v="256"/>
    <s v="US-2015-159982"/>
    <x v="109"/>
    <x v="107"/>
    <x v="1"/>
    <x v="112"/>
    <s v="Dan Reichenbach"/>
    <x v="1"/>
    <s v="United States"/>
    <s v="Chicago"/>
    <s v="Illinois"/>
    <n v="60623"/>
    <x v="2"/>
    <s v="OFF-ST-10004804"/>
    <x v="1"/>
    <s v="Storage"/>
    <s v="Belkin 19&quot; Vented Equipment Shelf, Black"/>
    <n v="82.367999999999995"/>
    <n v="2"/>
    <x v="2"/>
    <n v="-19.5624"/>
  </r>
  <r>
    <n v="257"/>
    <s v="US-2015-159982"/>
    <x v="109"/>
    <x v="107"/>
    <x v="1"/>
    <x v="112"/>
    <s v="Dan Reichenbach"/>
    <x v="1"/>
    <s v="United States"/>
    <s v="Chicago"/>
    <s v="Illinois"/>
    <n v="60623"/>
    <x v="2"/>
    <s v="OFF-ST-10001590"/>
    <x v="1"/>
    <s v="Storage"/>
    <s v="Tenex Personal Project File with Scoop Front Design, Black"/>
    <n v="53.92"/>
    <n v="5"/>
    <x v="2"/>
    <n v="4.0439999999999996"/>
  </r>
  <r>
    <n v="258"/>
    <s v="US-2015-159982"/>
    <x v="109"/>
    <x v="107"/>
    <x v="1"/>
    <x v="112"/>
    <s v="Dan Reichenbach"/>
    <x v="1"/>
    <s v="United States"/>
    <s v="Chicago"/>
    <s v="Illinois"/>
    <n v="60623"/>
    <x v="2"/>
    <s v="TEC-PH-10001580"/>
    <x v="2"/>
    <s v="Phones"/>
    <s v="Logitech Mobile Speakerphone P710e - speaker phone"/>
    <n v="647.904"/>
    <n v="6"/>
    <x v="2"/>
    <n v="56.691600000000001"/>
  </r>
  <r>
    <n v="259"/>
    <s v="CA-2017-163139"/>
    <x v="96"/>
    <x v="108"/>
    <x v="0"/>
    <x v="113"/>
    <s v="Craig Carreira"/>
    <x v="0"/>
    <s v="United States"/>
    <s v="New York City"/>
    <s v="New York"/>
    <n v="10009"/>
    <x v="3"/>
    <s v="TEC-AC-10000290"/>
    <x v="2"/>
    <s v="Accessories"/>
    <s v="Sabrent 4-Port USB 2.0 Hub"/>
    <n v="20.37"/>
    <n v="3"/>
    <x v="0"/>
    <n v="6.9257999999999997"/>
  </r>
  <r>
    <n v="260"/>
    <s v="CA-2017-163139"/>
    <x v="96"/>
    <x v="108"/>
    <x v="0"/>
    <x v="113"/>
    <s v="Craig Carreira"/>
    <x v="0"/>
    <s v="United States"/>
    <s v="New York City"/>
    <s v="New York"/>
    <n v="10009"/>
    <x v="3"/>
    <s v="OFF-ST-10002790"/>
    <x v="1"/>
    <s v="Storage"/>
    <s v="Safco Industrial Shelving"/>
    <n v="221.55"/>
    <n v="3"/>
    <x v="0"/>
    <n v="6.6465000000000201"/>
  </r>
  <r>
    <n v="261"/>
    <s v="CA-2017-163139"/>
    <x v="96"/>
    <x v="108"/>
    <x v="0"/>
    <x v="113"/>
    <s v="Craig Carreira"/>
    <x v="0"/>
    <s v="United States"/>
    <s v="New York City"/>
    <s v="New York"/>
    <n v="10009"/>
    <x v="3"/>
    <s v="OFF-BI-10003460"/>
    <x v="1"/>
    <s v="Binders"/>
    <s v="Acco 3-Hole Punch"/>
    <n v="17.52"/>
    <n v="5"/>
    <x v="2"/>
    <n v="6.1319999999999997"/>
  </r>
  <r>
    <n v="262"/>
    <s v="US-2017-155299"/>
    <x v="110"/>
    <x v="109"/>
    <x v="1"/>
    <x v="114"/>
    <s v="Dorris liebe"/>
    <x v="1"/>
    <s v="United States"/>
    <s v="Pasadena"/>
    <s v="Texas"/>
    <n v="77506"/>
    <x v="2"/>
    <s v="OFF-AP-10002203"/>
    <x v="1"/>
    <s v="Appliances"/>
    <s v="Eureka Disposable Bags for Sanitaire Vibra Groomer I Upright Vac"/>
    <n v="1.6240000000000001"/>
    <n v="2"/>
    <x v="3"/>
    <n v="-4.4660000000000002"/>
  </r>
  <r>
    <n v="263"/>
    <s v="US-2014-106992"/>
    <x v="111"/>
    <x v="110"/>
    <x v="0"/>
    <x v="115"/>
    <s v="Sean Braxton"/>
    <x v="1"/>
    <s v="United States"/>
    <s v="Houston"/>
    <s v="Texas"/>
    <n v="77036"/>
    <x v="2"/>
    <s v="TEC-MA-10000822"/>
    <x v="2"/>
    <s v="Machines"/>
    <s v="Lexmark MX611dhe Monochrome Laser Printer"/>
    <n v="3059.982"/>
    <n v="3"/>
    <x v="10"/>
    <n v="-509.99700000000098"/>
  </r>
  <r>
    <n v="264"/>
    <s v="US-2014-106992"/>
    <x v="111"/>
    <x v="110"/>
    <x v="0"/>
    <x v="115"/>
    <s v="Sean Braxton"/>
    <x v="1"/>
    <s v="United States"/>
    <s v="Houston"/>
    <s v="Texas"/>
    <n v="77036"/>
    <x v="2"/>
    <s v="TEC-MA-10003353"/>
    <x v="2"/>
    <s v="Machines"/>
    <s v="Xerox WorkCentre 6505DN Laser Multifunction Printer"/>
    <n v="2519.9580000000001"/>
    <n v="7"/>
    <x v="10"/>
    <n v="-251.9958"/>
  </r>
  <r>
    <n v="265"/>
    <s v="CA-2016-125318"/>
    <x v="112"/>
    <x v="111"/>
    <x v="1"/>
    <x v="116"/>
    <s v="Roy Collins"/>
    <x v="0"/>
    <s v="United States"/>
    <s v="Chicago"/>
    <s v="Illinois"/>
    <n v="60610"/>
    <x v="2"/>
    <s v="TEC-PH-10001433"/>
    <x v="2"/>
    <s v="Phones"/>
    <s v="Cisco Small Business SPA 502G VoIP phone"/>
    <n v="328.22399999999999"/>
    <n v="4"/>
    <x v="2"/>
    <n v="28.7196"/>
  </r>
  <r>
    <n v="266"/>
    <s v="CA-2015-155040"/>
    <x v="113"/>
    <x v="112"/>
    <x v="1"/>
    <x v="117"/>
    <s v="Alan Hwang"/>
    <x v="0"/>
    <s v="United States"/>
    <s v="Brentwood"/>
    <s v="California"/>
    <n v="94513"/>
    <x v="1"/>
    <s v="TEC-AC-10004469"/>
    <x v="2"/>
    <s v="Accessories"/>
    <s v="Microsoft Sculpt Comfort Mouse"/>
    <n v="79.900000000000006"/>
    <n v="2"/>
    <x v="0"/>
    <n v="35.155999999999999"/>
  </r>
  <r>
    <n v="267"/>
    <s v="CA-2017-136826"/>
    <x v="114"/>
    <x v="46"/>
    <x v="1"/>
    <x v="118"/>
    <s v="Claudia Bergmann"/>
    <x v="1"/>
    <s v="United States"/>
    <s v="Chapel Hill"/>
    <s v="North Carolina"/>
    <n v="27514"/>
    <x v="0"/>
    <s v="OFF-AR-10003602"/>
    <x v="1"/>
    <s v="Art"/>
    <s v="Quartet Omega Colored Chalk, 12/Pack"/>
    <n v="14.016"/>
    <n v="3"/>
    <x v="2"/>
    <n v="4.7304000000000004"/>
  </r>
  <r>
    <n v="268"/>
    <s v="CA-2016-111010"/>
    <x v="115"/>
    <x v="113"/>
    <x v="1"/>
    <x v="38"/>
    <s v="Paul Gonzalez"/>
    <x v="0"/>
    <s v="United States"/>
    <s v="Morristown"/>
    <s v="New Jersey"/>
    <n v="7960"/>
    <x v="3"/>
    <s v="OFF-FA-10003472"/>
    <x v="1"/>
    <s v="Fasteners"/>
    <s v="Bagged Rubber Bands"/>
    <n v="7.56"/>
    <n v="6"/>
    <x v="0"/>
    <n v="0.3024"/>
  </r>
  <r>
    <n v="269"/>
    <s v="US-2017-145366"/>
    <x v="34"/>
    <x v="114"/>
    <x v="1"/>
    <x v="119"/>
    <s v="Christine Abelman"/>
    <x v="1"/>
    <s v="United States"/>
    <s v="Cincinnati"/>
    <s v="Ohio"/>
    <n v="45231"/>
    <x v="3"/>
    <s v="OFF-ST-10004180"/>
    <x v="1"/>
    <s v="Storage"/>
    <s v="Safco Commercial Shelving"/>
    <n v="37.207999999999998"/>
    <n v="1"/>
    <x v="2"/>
    <n v="-7.4416000000000002"/>
  </r>
  <r>
    <n v="270"/>
    <s v="US-2017-145366"/>
    <x v="34"/>
    <x v="114"/>
    <x v="1"/>
    <x v="119"/>
    <s v="Christine Abelman"/>
    <x v="1"/>
    <s v="United States"/>
    <s v="Cincinnati"/>
    <s v="Ohio"/>
    <n v="45231"/>
    <x v="3"/>
    <s v="OFF-EN-10004386"/>
    <x v="1"/>
    <s v="Envelopes"/>
    <s v="Recycled Interoffice Envelopes with String and Button Closure, 10 x 13"/>
    <n v="57.576000000000001"/>
    <n v="3"/>
    <x v="2"/>
    <n v="21.591000000000001"/>
  </r>
  <r>
    <n v="271"/>
    <s v="CA-2017-163979"/>
    <x v="116"/>
    <x v="115"/>
    <x v="0"/>
    <x v="120"/>
    <s v="Kristen Hastings"/>
    <x v="1"/>
    <s v="United States"/>
    <s v="San Francisco"/>
    <s v="California"/>
    <n v="94110"/>
    <x v="1"/>
    <s v="OFF-ST-10003208"/>
    <x v="1"/>
    <s v="Storage"/>
    <s v="Adjustable Depth Letter/Legal Cart"/>
    <n v="725.84"/>
    <n v="4"/>
    <x v="0"/>
    <n v="210.49359999999999"/>
  </r>
  <r>
    <n v="272"/>
    <s v="CA-2015-155334"/>
    <x v="117"/>
    <x v="116"/>
    <x v="2"/>
    <x v="66"/>
    <s v="Helen Andreada"/>
    <x v="0"/>
    <s v="United States"/>
    <s v="San Francisco"/>
    <s v="California"/>
    <n v="94109"/>
    <x v="1"/>
    <s v="TEC-AC-10003628"/>
    <x v="2"/>
    <s v="Accessories"/>
    <s v="Logitech 910-002974 M325 Wireless Mouse for Web Scrolling"/>
    <n v="209.93"/>
    <n v="7"/>
    <x v="0"/>
    <n v="92.369200000000006"/>
  </r>
  <r>
    <n v="273"/>
    <s v="CA-2015-155334"/>
    <x v="117"/>
    <x v="116"/>
    <x v="2"/>
    <x v="66"/>
    <s v="Helen Andreada"/>
    <x v="0"/>
    <s v="United States"/>
    <s v="San Francisco"/>
    <s v="California"/>
    <n v="94109"/>
    <x v="1"/>
    <s v="FUR-FU-10003274"/>
    <x v="0"/>
    <s v="Furnishings"/>
    <s v="Regeneration Desk Collection"/>
    <n v="5.28"/>
    <n v="3"/>
    <x v="0"/>
    <n v="2.3231999999999999"/>
  </r>
  <r>
    <n v="274"/>
    <s v="CA-2015-155334"/>
    <x v="117"/>
    <x v="116"/>
    <x v="2"/>
    <x v="66"/>
    <s v="Helen Andreada"/>
    <x v="0"/>
    <s v="United States"/>
    <s v="San Francisco"/>
    <s v="California"/>
    <n v="94109"/>
    <x v="1"/>
    <s v="OFF-BI-10002557"/>
    <x v="1"/>
    <s v="Binders"/>
    <s v="Presstex Flexible Ring Binders"/>
    <n v="10.92"/>
    <n v="3"/>
    <x v="2"/>
    <n v="4.0949999999999998"/>
  </r>
  <r>
    <n v="275"/>
    <s v="CA-2017-118136"/>
    <x v="118"/>
    <x v="31"/>
    <x v="2"/>
    <x v="121"/>
    <s v="Barry Blumstein"/>
    <x v="1"/>
    <s v="United States"/>
    <s v="Inglewood"/>
    <s v="California"/>
    <n v="90301"/>
    <x v="1"/>
    <s v="OFF-PA-10002615"/>
    <x v="1"/>
    <s v="Paper"/>
    <s v="Ampad Gold Fibre Wirebound Steno Books, 6&quot; x 9&quot;, Gregg Ruled"/>
    <n v="8.82"/>
    <n v="2"/>
    <x v="0"/>
    <n v="4.0571999999999999"/>
  </r>
  <r>
    <n v="276"/>
    <s v="CA-2017-118136"/>
    <x v="118"/>
    <x v="31"/>
    <x v="2"/>
    <x v="121"/>
    <s v="Barry Blumstein"/>
    <x v="1"/>
    <s v="United States"/>
    <s v="Inglewood"/>
    <s v="California"/>
    <n v="90301"/>
    <x v="1"/>
    <s v="OFF-AR-10001427"/>
    <x v="1"/>
    <s v="Art"/>
    <s v="Newell 330"/>
    <n v="5.98"/>
    <n v="1"/>
    <x v="0"/>
    <n v="1.5548"/>
  </r>
  <r>
    <n v="277"/>
    <s v="CA-2017-132976"/>
    <x v="119"/>
    <x v="117"/>
    <x v="1"/>
    <x v="122"/>
    <s v="Andrew Gjertsen"/>
    <x v="1"/>
    <s v="United States"/>
    <s v="Philadelphia"/>
    <s v="Pennsylvania"/>
    <n v="19140"/>
    <x v="3"/>
    <s v="OFF-PA-10000673"/>
    <x v="1"/>
    <s v="Paper"/>
    <s v="Post-it “Important Message” Note Pad, Neon Colors, 50 Sheets/Pad"/>
    <n v="11.648"/>
    <n v="2"/>
    <x v="2"/>
    <n v="4.0768000000000004"/>
  </r>
  <r>
    <n v="278"/>
    <s v="CA-2017-132976"/>
    <x v="119"/>
    <x v="117"/>
    <x v="1"/>
    <x v="122"/>
    <s v="Andrew Gjertsen"/>
    <x v="1"/>
    <s v="United States"/>
    <s v="Philadelphia"/>
    <s v="Pennsylvania"/>
    <n v="19140"/>
    <x v="3"/>
    <s v="OFF-PA-10004470"/>
    <x v="1"/>
    <s v="Paper"/>
    <s v="Adams Write n' Stick Phone Message Book, 11&quot; X 5 1/4&quot;, 200 Messages"/>
    <n v="18.175999999999998"/>
    <n v="4"/>
    <x v="2"/>
    <n v="5.9071999999999996"/>
  </r>
  <r>
    <n v="279"/>
    <s v="CA-2017-132976"/>
    <x v="119"/>
    <x v="117"/>
    <x v="1"/>
    <x v="122"/>
    <s v="Andrew Gjertsen"/>
    <x v="1"/>
    <s v="United States"/>
    <s v="Philadelphia"/>
    <s v="Pennsylvania"/>
    <n v="19140"/>
    <x v="3"/>
    <s v="OFF-ST-10000876"/>
    <x v="1"/>
    <s v="Storage"/>
    <s v="Eldon Simplefile Box Office"/>
    <n v="59.712000000000003"/>
    <n v="6"/>
    <x v="2"/>
    <n v="5.9711999999999996"/>
  </r>
  <r>
    <n v="280"/>
    <s v="CA-2017-132976"/>
    <x v="119"/>
    <x v="117"/>
    <x v="1"/>
    <x v="122"/>
    <s v="Andrew Gjertsen"/>
    <x v="1"/>
    <s v="United States"/>
    <s v="Philadelphia"/>
    <s v="Pennsylvania"/>
    <n v="19140"/>
    <x v="3"/>
    <s v="OFF-LA-10002043"/>
    <x v="1"/>
    <s v="Labels"/>
    <s v="Avery 489"/>
    <n v="24.84"/>
    <n v="3"/>
    <x v="2"/>
    <n v="8.6940000000000008"/>
  </r>
  <r>
    <n v="281"/>
    <s v="US-2015-161991"/>
    <x v="120"/>
    <x v="118"/>
    <x v="0"/>
    <x v="56"/>
    <s v="Steven Cartwright"/>
    <x v="0"/>
    <s v="United States"/>
    <s v="Houston"/>
    <s v="Texas"/>
    <n v="77070"/>
    <x v="2"/>
    <s v="OFF-BI-10004967"/>
    <x v="1"/>
    <s v="Binders"/>
    <s v="Round Ring Binders"/>
    <n v="2.08"/>
    <n v="5"/>
    <x v="3"/>
    <n v="-3.4319999999999999"/>
  </r>
  <r>
    <n v="282"/>
    <s v="US-2015-161991"/>
    <x v="120"/>
    <x v="118"/>
    <x v="0"/>
    <x v="56"/>
    <s v="Steven Cartwright"/>
    <x v="0"/>
    <s v="United States"/>
    <s v="Houston"/>
    <s v="Texas"/>
    <n v="77070"/>
    <x v="2"/>
    <s v="TEC-PH-10001760"/>
    <x v="2"/>
    <s v="Phones"/>
    <s v="Bose SoundLink Bluetooth Speaker"/>
    <n v="1114.4000000000001"/>
    <n v="7"/>
    <x v="2"/>
    <n v="376.11"/>
  </r>
  <r>
    <n v="283"/>
    <s v="CA-2015-130890"/>
    <x v="121"/>
    <x v="85"/>
    <x v="1"/>
    <x v="123"/>
    <s v="Jas O'Carroll"/>
    <x v="0"/>
    <s v="United States"/>
    <s v="Los Angeles"/>
    <s v="California"/>
    <n v="90004"/>
    <x v="1"/>
    <s v="FUR-TA-10002903"/>
    <x v="0"/>
    <s v="Tables"/>
    <s v="Bevis Round Bullnose 29&quot; High Table Top"/>
    <n v="1038.8399999999999"/>
    <n v="5"/>
    <x v="2"/>
    <n v="51.942"/>
  </r>
  <r>
    <n v="284"/>
    <s v="CA-2015-130883"/>
    <x v="120"/>
    <x v="119"/>
    <x v="1"/>
    <x v="14"/>
    <s v="Tracy Blumstein"/>
    <x v="0"/>
    <s v="United States"/>
    <s v="Portland"/>
    <s v="Oregon"/>
    <n v="97206"/>
    <x v="1"/>
    <s v="OFF-PA-10000474"/>
    <x v="1"/>
    <s v="Paper"/>
    <s v="Easy-staple paper"/>
    <n v="141.76"/>
    <n v="5"/>
    <x v="2"/>
    <n v="47.844000000000001"/>
  </r>
  <r>
    <n v="285"/>
    <s v="CA-2015-130883"/>
    <x v="120"/>
    <x v="119"/>
    <x v="1"/>
    <x v="14"/>
    <s v="Tracy Blumstein"/>
    <x v="0"/>
    <s v="United States"/>
    <s v="Portland"/>
    <s v="Oregon"/>
    <n v="97206"/>
    <x v="1"/>
    <s v="TEC-AC-10001956"/>
    <x v="2"/>
    <s v="Accessories"/>
    <s v="Microsoft Arc Touch Mouse"/>
    <n v="239.8"/>
    <n v="5"/>
    <x v="2"/>
    <n v="47.96"/>
  </r>
  <r>
    <n v="286"/>
    <s v="CA-2015-130883"/>
    <x v="120"/>
    <x v="119"/>
    <x v="1"/>
    <x v="14"/>
    <s v="Tracy Blumstein"/>
    <x v="0"/>
    <s v="United States"/>
    <s v="Portland"/>
    <s v="Oregon"/>
    <n v="97206"/>
    <x v="1"/>
    <s v="OFF-PA-10004100"/>
    <x v="1"/>
    <s v="Paper"/>
    <s v="Xerox 216"/>
    <n v="31.103999999999999"/>
    <n v="6"/>
    <x v="2"/>
    <n v="10.8864"/>
  </r>
  <r>
    <n v="287"/>
    <s v="CA-2016-112697"/>
    <x v="122"/>
    <x v="120"/>
    <x v="0"/>
    <x v="124"/>
    <s v="Alan Haines"/>
    <x v="1"/>
    <s v="United States"/>
    <s v="Tamarac"/>
    <s v="Florida"/>
    <n v="33319"/>
    <x v="0"/>
    <s v="OFF-BI-10000778"/>
    <x v="1"/>
    <s v="Binders"/>
    <s v="GBC VeloBinder Electric Binding Machine"/>
    <n v="254.05799999999999"/>
    <n v="7"/>
    <x v="6"/>
    <n v="-169.37200000000001"/>
  </r>
  <r>
    <n v="288"/>
    <s v="CA-2016-112697"/>
    <x v="122"/>
    <x v="120"/>
    <x v="0"/>
    <x v="124"/>
    <s v="Alan Haines"/>
    <x v="1"/>
    <s v="United States"/>
    <s v="Tamarac"/>
    <s v="Florida"/>
    <n v="33319"/>
    <x v="0"/>
    <s v="OFF-AP-10002684"/>
    <x v="1"/>
    <s v="Appliances"/>
    <s v="Acco 7-Outlet Masterpiece Power Center, Wihtout Fax/Phone Line Protection"/>
    <n v="194.52799999999999"/>
    <n v="2"/>
    <x v="2"/>
    <n v="24.315999999999999"/>
  </r>
  <r>
    <n v="289"/>
    <s v="CA-2016-112697"/>
    <x v="122"/>
    <x v="120"/>
    <x v="0"/>
    <x v="124"/>
    <s v="Alan Haines"/>
    <x v="1"/>
    <s v="United States"/>
    <s v="Tamarac"/>
    <s v="Florida"/>
    <n v="33319"/>
    <x v="0"/>
    <s v="OFF-SU-10000646"/>
    <x v="1"/>
    <s v="Supplies"/>
    <s v="Premier Automatic Letter Opener"/>
    <n v="961.48"/>
    <n v="5"/>
    <x v="2"/>
    <n v="-204.31450000000001"/>
  </r>
  <r>
    <n v="290"/>
    <s v="CA-2016-110772"/>
    <x v="73"/>
    <x v="71"/>
    <x v="0"/>
    <x v="125"/>
    <s v="Nick Zandusky"/>
    <x v="2"/>
    <s v="United States"/>
    <s v="Columbus"/>
    <s v="Ohio"/>
    <n v="43229"/>
    <x v="3"/>
    <s v="OFF-FA-10002983"/>
    <x v="1"/>
    <s v="Fasteners"/>
    <s v="Advantus SlideClip Paper Clips"/>
    <n v="19.096"/>
    <n v="7"/>
    <x v="2"/>
    <n v="6.6836000000000002"/>
  </r>
  <r>
    <n v="291"/>
    <s v="CA-2016-110772"/>
    <x v="73"/>
    <x v="71"/>
    <x v="0"/>
    <x v="125"/>
    <s v="Nick Zandusky"/>
    <x v="2"/>
    <s v="United States"/>
    <s v="Columbus"/>
    <s v="Ohio"/>
    <n v="43229"/>
    <x v="3"/>
    <s v="OFF-LA-10004689"/>
    <x v="1"/>
    <s v="Labels"/>
    <s v="Avery 512"/>
    <n v="18.495999999999999"/>
    <n v="8"/>
    <x v="2"/>
    <n v="6.2423999999999999"/>
  </r>
  <r>
    <n v="292"/>
    <s v="CA-2016-110772"/>
    <x v="73"/>
    <x v="71"/>
    <x v="0"/>
    <x v="125"/>
    <s v="Nick Zandusky"/>
    <x v="2"/>
    <s v="United States"/>
    <s v="Columbus"/>
    <s v="Ohio"/>
    <n v="43229"/>
    <x v="3"/>
    <s v="TEC-AC-10002001"/>
    <x v="2"/>
    <s v="Accessories"/>
    <s v="Logitech Wireless Gaming Headset G930"/>
    <n v="255.98400000000001"/>
    <n v="2"/>
    <x v="2"/>
    <n v="54.396599999999999"/>
  </r>
  <r>
    <n v="293"/>
    <s v="CA-2016-110772"/>
    <x v="73"/>
    <x v="71"/>
    <x v="0"/>
    <x v="125"/>
    <s v="Nick Zandusky"/>
    <x v="2"/>
    <s v="United States"/>
    <s v="Columbus"/>
    <s v="Ohio"/>
    <n v="43229"/>
    <x v="3"/>
    <s v="FUR-BO-10004709"/>
    <x v="0"/>
    <s v="Bookcases"/>
    <s v="Bush Westfield Collection Bookcases, Medium Cherry Finish"/>
    <n v="86.97"/>
    <n v="3"/>
    <x v="5"/>
    <n v="-48.703200000000002"/>
  </r>
  <r>
    <n v="294"/>
    <s v="CA-2014-111451"/>
    <x v="58"/>
    <x v="58"/>
    <x v="2"/>
    <x v="126"/>
    <s v="Kelly Lampkin"/>
    <x v="1"/>
    <s v="United States"/>
    <s v="Colorado Springs"/>
    <s v="Colorado"/>
    <n v="80906"/>
    <x v="1"/>
    <s v="FUR-FU-10004091"/>
    <x v="0"/>
    <s v="Furnishings"/>
    <s v="Howard Miller 13&quot; Diameter Goldtone Round Wall Clock"/>
    <n v="300.416"/>
    <n v="8"/>
    <x v="2"/>
    <n v="78.859200000000001"/>
  </r>
  <r>
    <n v="295"/>
    <s v="CA-2014-111451"/>
    <x v="58"/>
    <x v="58"/>
    <x v="2"/>
    <x v="126"/>
    <s v="Kelly Lampkin"/>
    <x v="1"/>
    <s v="United States"/>
    <s v="Colorado Springs"/>
    <s v="Colorado"/>
    <n v="80906"/>
    <x v="1"/>
    <s v="FUR-CH-10001891"/>
    <x v="0"/>
    <s v="Chairs"/>
    <s v="Global Deluxe Office Fabric Chairs"/>
    <n v="230.352"/>
    <n v="3"/>
    <x v="2"/>
    <n v="20.155799999999999"/>
  </r>
  <r>
    <n v="296"/>
    <s v="CA-2014-111451"/>
    <x v="58"/>
    <x v="58"/>
    <x v="2"/>
    <x v="126"/>
    <s v="Kelly Lampkin"/>
    <x v="1"/>
    <s v="United States"/>
    <s v="Colorado Springs"/>
    <s v="Colorado"/>
    <n v="80906"/>
    <x v="1"/>
    <s v="FUR-FU-10002918"/>
    <x v="0"/>
    <s v="Furnishings"/>
    <s v="Eldon ClusterMat Chair Mat with Cordless Antistatic Protection"/>
    <n v="218.352"/>
    <n v="3"/>
    <x v="2"/>
    <n v="-24.564599999999999"/>
  </r>
  <r>
    <n v="297"/>
    <s v="CA-2014-111451"/>
    <x v="58"/>
    <x v="58"/>
    <x v="2"/>
    <x v="126"/>
    <s v="Kelly Lampkin"/>
    <x v="1"/>
    <s v="United States"/>
    <s v="Colorado Springs"/>
    <s v="Colorado"/>
    <n v="80906"/>
    <x v="1"/>
    <s v="OFF-BI-10004593"/>
    <x v="1"/>
    <s v="Binders"/>
    <s v="Ibico Laser Imprintable Binding System Covers"/>
    <n v="78.599999999999994"/>
    <n v="5"/>
    <x v="6"/>
    <n v="-62.88"/>
  </r>
  <r>
    <n v="298"/>
    <s v="CA-2014-111451"/>
    <x v="58"/>
    <x v="58"/>
    <x v="2"/>
    <x v="126"/>
    <s v="Kelly Lampkin"/>
    <x v="1"/>
    <s v="United States"/>
    <s v="Colorado Springs"/>
    <s v="Colorado"/>
    <n v="80906"/>
    <x v="1"/>
    <s v="OFF-FA-10004854"/>
    <x v="1"/>
    <s v="Fasteners"/>
    <s v="Vinyl Coated Wire Paper Clips in Organizer Box, 800/Box"/>
    <n v="27.552"/>
    <n v="3"/>
    <x v="2"/>
    <n v="9.2988"/>
  </r>
  <r>
    <n v="299"/>
    <s v="CA-2016-142545"/>
    <x v="99"/>
    <x v="121"/>
    <x v="1"/>
    <x v="63"/>
    <s v="Jonathan Doherty"/>
    <x v="1"/>
    <s v="United States"/>
    <s v="Belleville"/>
    <s v="New Jersey"/>
    <n v="7109"/>
    <x v="3"/>
    <s v="OFF-PA-10002105"/>
    <x v="1"/>
    <s v="Paper"/>
    <s v="Xerox 223"/>
    <n v="32.4"/>
    <n v="5"/>
    <x v="0"/>
    <n v="15.552"/>
  </r>
  <r>
    <n v="300"/>
    <s v="CA-2016-142545"/>
    <x v="99"/>
    <x v="121"/>
    <x v="1"/>
    <x v="63"/>
    <s v="Jonathan Doherty"/>
    <x v="1"/>
    <s v="United States"/>
    <s v="Belleville"/>
    <s v="New Jersey"/>
    <n v="7109"/>
    <x v="3"/>
    <s v="OFF-ST-10002756"/>
    <x v="1"/>
    <s v="Storage"/>
    <s v="Tennsco Stur-D-Stor Boltless Shelving, 5 Shelves, 24&quot; Deep, Sand"/>
    <n v="1082.48"/>
    <n v="8"/>
    <x v="0"/>
    <n v="10.824800000000099"/>
  </r>
  <r>
    <n v="301"/>
    <s v="CA-2016-142545"/>
    <x v="99"/>
    <x v="121"/>
    <x v="1"/>
    <x v="63"/>
    <s v="Jonathan Doherty"/>
    <x v="1"/>
    <s v="United States"/>
    <s v="Belleville"/>
    <s v="New Jersey"/>
    <n v="7109"/>
    <x v="3"/>
    <s v="OFF-PA-10004243"/>
    <x v="1"/>
    <s v="Paper"/>
    <s v="Xerox 1939"/>
    <n v="56.91"/>
    <n v="3"/>
    <x v="0"/>
    <n v="27.316800000000001"/>
  </r>
  <r>
    <n v="302"/>
    <s v="CA-2016-142545"/>
    <x v="99"/>
    <x v="121"/>
    <x v="1"/>
    <x v="63"/>
    <s v="Jonathan Doherty"/>
    <x v="1"/>
    <s v="United States"/>
    <s v="Belleville"/>
    <s v="New Jersey"/>
    <n v="7109"/>
    <x v="3"/>
    <s v="FUR-FU-10001861"/>
    <x v="0"/>
    <s v="Furnishings"/>
    <s v="Floodlight Indoor Halogen Bulbs, 1 Bulb per Pack, 60 Watts"/>
    <n v="77.599999999999994"/>
    <n v="4"/>
    <x v="0"/>
    <n v="38.024000000000001"/>
  </r>
  <r>
    <n v="303"/>
    <s v="CA-2016-142545"/>
    <x v="99"/>
    <x v="121"/>
    <x v="1"/>
    <x v="63"/>
    <s v="Jonathan Doherty"/>
    <x v="1"/>
    <s v="United States"/>
    <s v="Belleville"/>
    <s v="New Jersey"/>
    <n v="7109"/>
    <x v="3"/>
    <s v="OFF-BI-10002706"/>
    <x v="1"/>
    <s v="Binders"/>
    <s v="Avery Premier Heavy-Duty Binder with Round Locking Rings"/>
    <n v="14.28"/>
    <n v="1"/>
    <x v="0"/>
    <n v="6.5688000000000004"/>
  </r>
  <r>
    <n v="304"/>
    <s v="US-2017-152380"/>
    <x v="123"/>
    <x v="122"/>
    <x v="1"/>
    <x v="101"/>
    <s v="Jonathan Howell"/>
    <x v="0"/>
    <s v="United States"/>
    <s v="Chicago"/>
    <s v="Illinois"/>
    <n v="60623"/>
    <x v="2"/>
    <s v="FUR-TA-10002533"/>
    <x v="0"/>
    <s v="Tables"/>
    <s v="BPI Conference Tables"/>
    <n v="219.07499999999999"/>
    <n v="3"/>
    <x v="5"/>
    <n v="-131.44499999999999"/>
  </r>
  <r>
    <n v="305"/>
    <s v="CA-2015-144253"/>
    <x v="124"/>
    <x v="123"/>
    <x v="0"/>
    <x v="127"/>
    <s v="Alan Schoenberger"/>
    <x v="1"/>
    <s v="United States"/>
    <s v="New York City"/>
    <s v="New York"/>
    <n v="10024"/>
    <x v="3"/>
    <s v="FUR-FU-10002671"/>
    <x v="0"/>
    <s v="Furnishings"/>
    <s v="Electrix 20W Halogen Replacement Bulb for Zoom-In Desk Lamp"/>
    <n v="26.8"/>
    <n v="2"/>
    <x v="0"/>
    <n v="12.864000000000001"/>
  </r>
  <r>
    <n v="306"/>
    <s v="CA-2014-130960"/>
    <x v="125"/>
    <x v="124"/>
    <x v="1"/>
    <x v="33"/>
    <s v="Ken Brennan"/>
    <x v="1"/>
    <s v="United States"/>
    <s v="Taylor"/>
    <s v="Michigan"/>
    <n v="48180"/>
    <x v="2"/>
    <s v="OFF-AR-10003651"/>
    <x v="1"/>
    <s v="Art"/>
    <s v="Newell 350"/>
    <n v="9.84"/>
    <n v="3"/>
    <x v="0"/>
    <n v="2.8536000000000001"/>
  </r>
  <r>
    <n v="307"/>
    <s v="CA-2014-111003"/>
    <x v="106"/>
    <x v="104"/>
    <x v="1"/>
    <x v="128"/>
    <s v="Corey Roper"/>
    <x v="2"/>
    <s v="United States"/>
    <s v="Lakewood"/>
    <s v="New Jersey"/>
    <n v="8701"/>
    <x v="3"/>
    <s v="OFF-BI-10001072"/>
    <x v="1"/>
    <s v="Binders"/>
    <s v="GBC Clear Cover, 8-1/2 x 11, unpunched, 25 covers per pack"/>
    <n v="45.48"/>
    <n v="3"/>
    <x v="0"/>
    <n v="20.9208"/>
  </r>
  <r>
    <n v="308"/>
    <s v="CA-2014-111003"/>
    <x v="106"/>
    <x v="104"/>
    <x v="1"/>
    <x v="128"/>
    <s v="Corey Roper"/>
    <x v="2"/>
    <s v="United States"/>
    <s v="Lakewood"/>
    <s v="New Jersey"/>
    <n v="8701"/>
    <x v="3"/>
    <s v="OFF-AR-10002135"/>
    <x v="1"/>
    <s v="Art"/>
    <s v="Boston Heavy-Duty Trimline Electric Pencil Sharpeners"/>
    <n v="289.2"/>
    <n v="6"/>
    <x v="0"/>
    <n v="83.867999999999995"/>
  </r>
  <r>
    <n v="309"/>
    <s v="CA-2017-126774"/>
    <x v="4"/>
    <x v="125"/>
    <x v="2"/>
    <x v="129"/>
    <s v="Shahid Hopkins"/>
    <x v="0"/>
    <s v="United States"/>
    <s v="Arlington"/>
    <s v="Virginia"/>
    <n v="22204"/>
    <x v="0"/>
    <s v="OFF-AR-10002804"/>
    <x v="1"/>
    <s v="Art"/>
    <s v="Faber Castell Col-Erase Pencils"/>
    <n v="4.8899999999999997"/>
    <n v="1"/>
    <x v="0"/>
    <n v="2.0049000000000001"/>
  </r>
  <r>
    <n v="310"/>
    <s v="CA-2016-142902"/>
    <x v="126"/>
    <x v="126"/>
    <x v="0"/>
    <x v="130"/>
    <s v="Ben Peterman"/>
    <x v="1"/>
    <s v="United States"/>
    <s v="Arvada"/>
    <s v="Colorado"/>
    <n v="80004"/>
    <x v="1"/>
    <s v="FUR-FU-10001918"/>
    <x v="0"/>
    <s v="Furnishings"/>
    <s v="C-Line Cubicle Keepers Polyproplyene Holder With Velcro Backings"/>
    <n v="15.135999999999999"/>
    <n v="4"/>
    <x v="2"/>
    <n v="3.5948000000000002"/>
  </r>
  <r>
    <n v="311"/>
    <s v="CA-2016-142902"/>
    <x v="126"/>
    <x v="126"/>
    <x v="0"/>
    <x v="130"/>
    <s v="Ben Peterman"/>
    <x v="1"/>
    <s v="United States"/>
    <s v="Arvada"/>
    <s v="Colorado"/>
    <n v="80004"/>
    <x v="1"/>
    <s v="FUR-CH-10004086"/>
    <x v="0"/>
    <s v="Chairs"/>
    <s v="Hon 4070 Series Pagoda Armless Upholstered Stacking Chairs"/>
    <n v="466.76799999999997"/>
    <n v="2"/>
    <x v="2"/>
    <n v="52.511400000000002"/>
  </r>
  <r>
    <n v="312"/>
    <s v="CA-2016-142902"/>
    <x v="126"/>
    <x v="126"/>
    <x v="0"/>
    <x v="130"/>
    <s v="Ben Peterman"/>
    <x v="1"/>
    <s v="United States"/>
    <s v="Arvada"/>
    <s v="Colorado"/>
    <n v="80004"/>
    <x v="1"/>
    <s v="FUR-FU-10001756"/>
    <x v="0"/>
    <s v="Furnishings"/>
    <s v="Eldon Expressions Desk Accessory, Wood Photo Frame, Mahogany"/>
    <n v="15.231999999999999"/>
    <n v="1"/>
    <x v="2"/>
    <n v="1.7136"/>
  </r>
  <r>
    <n v="313"/>
    <s v="CA-2016-142902"/>
    <x v="126"/>
    <x v="126"/>
    <x v="0"/>
    <x v="130"/>
    <s v="Ben Peterman"/>
    <x v="1"/>
    <s v="United States"/>
    <s v="Arvada"/>
    <s v="Colorado"/>
    <n v="80004"/>
    <x v="1"/>
    <s v="OFF-LA-10000634"/>
    <x v="1"/>
    <s v="Labels"/>
    <s v="Avery 509"/>
    <n v="6.2640000000000002"/>
    <n v="3"/>
    <x v="2"/>
    <n v="2.0358000000000001"/>
  </r>
  <r>
    <n v="314"/>
    <s v="CA-2014-120887"/>
    <x v="127"/>
    <x v="127"/>
    <x v="1"/>
    <x v="131"/>
    <s v="Thomas Seio"/>
    <x v="1"/>
    <s v="United States"/>
    <s v="Hackensack"/>
    <s v="New Jersey"/>
    <n v="7601"/>
    <x v="3"/>
    <s v="FUR-FU-10001588"/>
    <x v="0"/>
    <s v="Furnishings"/>
    <s v="Deflect-o SuperTray Unbreakable Stackable Tray, Letter, Black"/>
    <n v="87.54"/>
    <n v="3"/>
    <x v="0"/>
    <n v="37.642200000000003"/>
  </r>
  <r>
    <n v="315"/>
    <s v="CA-2014-167850"/>
    <x v="128"/>
    <x v="128"/>
    <x v="1"/>
    <x v="132"/>
    <s v="Andy Gerbode"/>
    <x v="1"/>
    <s v="United States"/>
    <s v="Saint Petersburg"/>
    <s v="Florida"/>
    <n v="33710"/>
    <x v="0"/>
    <s v="TEC-PH-10002398"/>
    <x v="2"/>
    <s v="Phones"/>
    <s v="AT&amp;T 1070 Corded Phone"/>
    <n v="178.38399999999999"/>
    <n v="2"/>
    <x v="2"/>
    <n v="22.297999999999998"/>
  </r>
  <r>
    <n v="316"/>
    <s v="CA-2014-167850"/>
    <x v="128"/>
    <x v="128"/>
    <x v="1"/>
    <x v="132"/>
    <s v="Andy Gerbode"/>
    <x v="1"/>
    <s v="United States"/>
    <s v="Saint Petersburg"/>
    <s v="Florida"/>
    <n v="33710"/>
    <x v="0"/>
    <s v="OFF-PA-10001937"/>
    <x v="1"/>
    <s v="Paper"/>
    <s v="Xerox 21"/>
    <n v="15.552"/>
    <n v="3"/>
    <x v="2"/>
    <n v="5.4432"/>
  </r>
  <r>
    <n v="317"/>
    <s v="CA-2014-164259"/>
    <x v="129"/>
    <x v="129"/>
    <x v="2"/>
    <x v="133"/>
    <s v="Sung Pak"/>
    <x v="1"/>
    <s v="United States"/>
    <s v="Philadelphia"/>
    <s v="Pennsylvania"/>
    <n v="19143"/>
    <x v="3"/>
    <s v="OFF-AR-10003373"/>
    <x v="1"/>
    <s v="Art"/>
    <s v="Boston School Pro Electric Pencil Sharpener, 1670"/>
    <n v="99.135999999999996"/>
    <n v="4"/>
    <x v="2"/>
    <n v="8.6743999999999897"/>
  </r>
  <r>
    <n v="318"/>
    <s v="CA-2014-164973"/>
    <x v="130"/>
    <x v="130"/>
    <x v="1"/>
    <x v="134"/>
    <s v="Nathan Mautz"/>
    <x v="2"/>
    <s v="United States"/>
    <s v="New York City"/>
    <s v="New York"/>
    <n v="10024"/>
    <x v="3"/>
    <s v="FUR-CH-10002602"/>
    <x v="0"/>
    <s v="Chairs"/>
    <s v="DMI Arturo Collection Mission-style Design Wood Chair"/>
    <n v="135.88200000000001"/>
    <n v="1"/>
    <x v="9"/>
    <n v="24.1568"/>
  </r>
  <r>
    <n v="319"/>
    <s v="CA-2014-164973"/>
    <x v="130"/>
    <x v="130"/>
    <x v="1"/>
    <x v="134"/>
    <s v="Nathan Mautz"/>
    <x v="2"/>
    <s v="United States"/>
    <s v="New York City"/>
    <s v="New York"/>
    <n v="10024"/>
    <x v="3"/>
    <s v="TEC-MA-10002927"/>
    <x v="2"/>
    <s v="Machines"/>
    <s v="Canon imageCLASS MF7460 Monochrome Digital Laser Multifunction Copier"/>
    <n v="3991.98"/>
    <n v="2"/>
    <x v="0"/>
    <n v="1995.99"/>
  </r>
  <r>
    <n v="320"/>
    <s v="CA-2014-164973"/>
    <x v="130"/>
    <x v="130"/>
    <x v="1"/>
    <x v="134"/>
    <s v="Nathan Mautz"/>
    <x v="2"/>
    <s v="United States"/>
    <s v="New York City"/>
    <s v="New York"/>
    <n v="10024"/>
    <x v="3"/>
    <s v="TEC-PH-10004093"/>
    <x v="2"/>
    <s v="Phones"/>
    <s v="Panasonic Kx-TS550"/>
    <n v="275.94"/>
    <n v="6"/>
    <x v="0"/>
    <n v="80.022599999999997"/>
  </r>
  <r>
    <n v="321"/>
    <s v="CA-2014-164973"/>
    <x v="130"/>
    <x v="130"/>
    <x v="1"/>
    <x v="134"/>
    <s v="Nathan Mautz"/>
    <x v="2"/>
    <s v="United States"/>
    <s v="New York City"/>
    <s v="New York"/>
    <n v="10024"/>
    <x v="3"/>
    <s v="TEC-AC-10000892"/>
    <x v="2"/>
    <s v="Accessories"/>
    <s v="NETGEAR N750 Dual Band Wi-Fi Gigabit Router"/>
    <n v="360"/>
    <n v="4"/>
    <x v="0"/>
    <n v="129.6"/>
  </r>
  <r>
    <n v="322"/>
    <s v="CA-2014-164973"/>
    <x v="130"/>
    <x v="130"/>
    <x v="1"/>
    <x v="134"/>
    <s v="Nathan Mautz"/>
    <x v="2"/>
    <s v="United States"/>
    <s v="New York City"/>
    <s v="New York"/>
    <n v="10024"/>
    <x v="3"/>
    <s v="OFF-ST-10002974"/>
    <x v="1"/>
    <s v="Storage"/>
    <s v="Trav-L-File Heavy-Duty Shuttle II, Black"/>
    <n v="43.57"/>
    <n v="1"/>
    <x v="0"/>
    <n v="13.071"/>
  </r>
  <r>
    <n v="323"/>
    <s v="CA-2014-156601"/>
    <x v="111"/>
    <x v="131"/>
    <x v="1"/>
    <x v="135"/>
    <s v="Frank Atkinson"/>
    <x v="1"/>
    <s v="United States"/>
    <s v="Long Beach"/>
    <s v="California"/>
    <n v="90805"/>
    <x v="1"/>
    <s v="OFF-FA-10000624"/>
    <x v="1"/>
    <s v="Fasteners"/>
    <s v="OIC Binder Clips"/>
    <n v="7.16"/>
    <n v="2"/>
    <x v="0"/>
    <n v="3.58"/>
  </r>
  <r>
    <n v="324"/>
    <s v="CA-2016-162138"/>
    <x v="131"/>
    <x v="132"/>
    <x v="1"/>
    <x v="136"/>
    <s v="Grace Kelly"/>
    <x v="1"/>
    <s v="United States"/>
    <s v="Hesperia"/>
    <s v="California"/>
    <n v="92345"/>
    <x v="1"/>
    <s v="OFF-BI-10004593"/>
    <x v="1"/>
    <s v="Binders"/>
    <s v="Ibico Laser Imprintable Binding System Covers"/>
    <n v="251.52"/>
    <n v="6"/>
    <x v="2"/>
    <n v="81.744"/>
  </r>
  <r>
    <n v="325"/>
    <s v="CA-2016-162138"/>
    <x v="131"/>
    <x v="132"/>
    <x v="1"/>
    <x v="136"/>
    <s v="Grace Kelly"/>
    <x v="1"/>
    <s v="United States"/>
    <s v="Hesperia"/>
    <s v="California"/>
    <n v="92345"/>
    <x v="1"/>
    <s v="TEC-AC-10001908"/>
    <x v="2"/>
    <s v="Accessories"/>
    <s v="Logitech Wireless Headset h800"/>
    <n v="99.99"/>
    <n v="1"/>
    <x v="0"/>
    <n v="34.996499999999997"/>
  </r>
  <r>
    <n v="326"/>
    <s v="CA-2017-153339"/>
    <x v="132"/>
    <x v="133"/>
    <x v="0"/>
    <x v="137"/>
    <s v="Don Jones"/>
    <x v="1"/>
    <s v="United States"/>
    <s v="Murfreesboro"/>
    <s v="Tennessee"/>
    <n v="37130"/>
    <x v="0"/>
    <s v="FUR-FU-10001967"/>
    <x v="0"/>
    <s v="Furnishings"/>
    <s v="Telescoping Adjustable Floor Lamp"/>
    <n v="15.992000000000001"/>
    <n v="1"/>
    <x v="2"/>
    <n v="0.99949999999999894"/>
  </r>
  <r>
    <n v="327"/>
    <s v="US-2016-141544"/>
    <x v="133"/>
    <x v="134"/>
    <x v="2"/>
    <x v="138"/>
    <s v="Patrick O'Brill"/>
    <x v="0"/>
    <s v="United States"/>
    <s v="Philadelphia"/>
    <s v="Pennsylvania"/>
    <n v="19143"/>
    <x v="3"/>
    <s v="TEC-PH-10003645"/>
    <x v="2"/>
    <s v="Phones"/>
    <s v="Aastra 57i VoIP phone"/>
    <n v="290.89800000000002"/>
    <n v="3"/>
    <x v="10"/>
    <n v="-67.876199999999997"/>
  </r>
  <r>
    <n v="328"/>
    <s v="US-2016-141544"/>
    <x v="133"/>
    <x v="134"/>
    <x v="2"/>
    <x v="138"/>
    <s v="Patrick O'Brill"/>
    <x v="0"/>
    <s v="United States"/>
    <s v="Philadelphia"/>
    <s v="Pennsylvania"/>
    <n v="19143"/>
    <x v="3"/>
    <s v="OFF-ST-10000675"/>
    <x v="1"/>
    <s v="Storage"/>
    <s v="File Shuttle II and Handi-File, Black"/>
    <n v="54.223999999999997"/>
    <n v="2"/>
    <x v="2"/>
    <n v="3.3889999999999998"/>
  </r>
  <r>
    <n v="329"/>
    <s v="US-2016-141544"/>
    <x v="133"/>
    <x v="134"/>
    <x v="2"/>
    <x v="138"/>
    <s v="Patrick O'Brill"/>
    <x v="0"/>
    <s v="United States"/>
    <s v="Philadelphia"/>
    <s v="Pennsylvania"/>
    <n v="19143"/>
    <x v="3"/>
    <s v="FUR-CH-10003312"/>
    <x v="0"/>
    <s v="Chairs"/>
    <s v="Hon 2090 “Pillow Soft” Series Mid Back Swivel/Tilt Chairs"/>
    <n v="786.74400000000003"/>
    <n v="4"/>
    <x v="4"/>
    <n v="-258.5016"/>
  </r>
  <r>
    <n v="330"/>
    <s v="US-2016-141544"/>
    <x v="133"/>
    <x v="134"/>
    <x v="2"/>
    <x v="138"/>
    <s v="Patrick O'Brill"/>
    <x v="0"/>
    <s v="United States"/>
    <s v="Philadelphia"/>
    <s v="Pennsylvania"/>
    <n v="19143"/>
    <x v="3"/>
    <s v="OFF-LA-10001074"/>
    <x v="1"/>
    <s v="Labels"/>
    <s v="Round Specialty Laser Printer Labels"/>
    <n v="100.24"/>
    <n v="10"/>
    <x v="2"/>
    <n v="33.831000000000003"/>
  </r>
  <r>
    <n v="331"/>
    <s v="US-2016-141544"/>
    <x v="133"/>
    <x v="134"/>
    <x v="2"/>
    <x v="138"/>
    <s v="Patrick O'Brill"/>
    <x v="0"/>
    <s v="United States"/>
    <s v="Philadelphia"/>
    <s v="Pennsylvania"/>
    <n v="19143"/>
    <x v="3"/>
    <s v="OFF-BI-10001524"/>
    <x v="1"/>
    <s v="Binders"/>
    <s v="GBC Premium Transparent Covers with Diagonal Lined Pattern"/>
    <n v="37.764000000000003"/>
    <n v="6"/>
    <x v="6"/>
    <n v="-27.6936"/>
  </r>
  <r>
    <n v="332"/>
    <s v="US-2016-150147"/>
    <x v="134"/>
    <x v="135"/>
    <x v="0"/>
    <x v="139"/>
    <s v="John Lucas"/>
    <x v="0"/>
    <s v="United States"/>
    <s v="Philadelphia"/>
    <s v="Pennsylvania"/>
    <n v="19134"/>
    <x v="3"/>
    <s v="TEC-PH-10004614"/>
    <x v="2"/>
    <s v="Phones"/>
    <s v="AT&amp;T 841000 Phone"/>
    <n v="82.8"/>
    <n v="2"/>
    <x v="10"/>
    <n v="-20.7"/>
  </r>
  <r>
    <n v="333"/>
    <s v="US-2016-150147"/>
    <x v="134"/>
    <x v="135"/>
    <x v="0"/>
    <x v="139"/>
    <s v="John Lucas"/>
    <x v="0"/>
    <s v="United States"/>
    <s v="Philadelphia"/>
    <s v="Pennsylvania"/>
    <n v="19134"/>
    <x v="3"/>
    <s v="OFF-BI-10001153"/>
    <x v="1"/>
    <s v="Binders"/>
    <s v="Ibico Recycled Grain-Textured Covers"/>
    <n v="20.724"/>
    <n v="2"/>
    <x v="6"/>
    <n v="-13.816000000000001"/>
  </r>
  <r>
    <n v="334"/>
    <s v="US-2016-150147"/>
    <x v="134"/>
    <x v="135"/>
    <x v="0"/>
    <x v="139"/>
    <s v="John Lucas"/>
    <x v="0"/>
    <s v="United States"/>
    <s v="Philadelphia"/>
    <s v="Pennsylvania"/>
    <n v="19134"/>
    <x v="3"/>
    <s v="OFF-BI-10001982"/>
    <x v="1"/>
    <s v="Binders"/>
    <s v="Wilson Jones Custom Binder Spines &amp; Labels"/>
    <n v="4.8959999999999999"/>
    <n v="3"/>
    <x v="6"/>
    <n v="-3.4272"/>
  </r>
  <r>
    <n v="335"/>
    <s v="CA-2015-137946"/>
    <x v="135"/>
    <x v="136"/>
    <x v="0"/>
    <x v="140"/>
    <s v="Doug Bickford"/>
    <x v="0"/>
    <s v="United States"/>
    <s v="Los Angeles"/>
    <s v="California"/>
    <n v="90045"/>
    <x v="1"/>
    <s v="OFF-BI-10001922"/>
    <x v="1"/>
    <s v="Binders"/>
    <s v="Storex Dura Pro Binders"/>
    <n v="4.7519999999999998"/>
    <n v="1"/>
    <x v="2"/>
    <n v="1.6037999999999999"/>
  </r>
  <r>
    <n v="336"/>
    <s v="CA-2015-137946"/>
    <x v="135"/>
    <x v="136"/>
    <x v="0"/>
    <x v="140"/>
    <s v="Doug Bickford"/>
    <x v="0"/>
    <s v="United States"/>
    <s v="Los Angeles"/>
    <s v="California"/>
    <n v="90045"/>
    <x v="1"/>
    <s v="TEC-CO-10001449"/>
    <x v="2"/>
    <s v="Copiers"/>
    <s v="Hewlett Packard LaserJet 3310 Copier"/>
    <n v="959.98400000000004"/>
    <n v="2"/>
    <x v="2"/>
    <n v="335.99439999999998"/>
  </r>
  <r>
    <n v="337"/>
    <s v="CA-2015-137946"/>
    <x v="135"/>
    <x v="136"/>
    <x v="0"/>
    <x v="140"/>
    <s v="Doug Bickford"/>
    <x v="0"/>
    <s v="United States"/>
    <s v="Los Angeles"/>
    <s v="California"/>
    <n v="90045"/>
    <x v="1"/>
    <s v="OFF-BI-10004140"/>
    <x v="1"/>
    <s v="Binders"/>
    <s v="Avery Non-Stick Binders"/>
    <n v="14.368"/>
    <n v="4"/>
    <x v="2"/>
    <n v="4.49"/>
  </r>
  <r>
    <n v="338"/>
    <s v="CA-2014-129924"/>
    <x v="136"/>
    <x v="137"/>
    <x v="1"/>
    <x v="141"/>
    <s v="Alyssa Crouse"/>
    <x v="1"/>
    <s v="United States"/>
    <s v="San Francisco"/>
    <s v="California"/>
    <n v="94122"/>
    <x v="1"/>
    <s v="OFF-BI-10003314"/>
    <x v="1"/>
    <s v="Binders"/>
    <s v="Tuff Stuff Recycled Round Ring Binders"/>
    <n v="7.7119999999999997"/>
    <n v="2"/>
    <x v="2"/>
    <n v="2.7955999999999999"/>
  </r>
  <r>
    <n v="339"/>
    <s v="CA-2014-129924"/>
    <x v="136"/>
    <x v="137"/>
    <x v="1"/>
    <x v="141"/>
    <s v="Alyssa Crouse"/>
    <x v="1"/>
    <s v="United States"/>
    <s v="San Francisco"/>
    <s v="California"/>
    <n v="94122"/>
    <x v="1"/>
    <s v="FUR-TA-10004575"/>
    <x v="0"/>
    <s v="Tables"/>
    <s v="Hon 5100 Series Wood Tables"/>
    <n v="698.35199999999998"/>
    <n v="3"/>
    <x v="2"/>
    <n v="-17.4588000000001"/>
  </r>
  <r>
    <n v="340"/>
    <s v="CA-2015-128167"/>
    <x v="137"/>
    <x v="138"/>
    <x v="0"/>
    <x v="107"/>
    <s v="Ken Lonsdale"/>
    <x v="0"/>
    <s v="United States"/>
    <s v="Layton"/>
    <s v="Utah"/>
    <n v="84041"/>
    <x v="1"/>
    <s v="OFF-FA-10000490"/>
    <x v="1"/>
    <s v="Fasteners"/>
    <s v="OIC Binder Clips, Mini, 1/4&quot; Capacity, Black"/>
    <n v="4.96"/>
    <n v="4"/>
    <x v="0"/>
    <n v="2.3311999999999999"/>
  </r>
  <r>
    <n v="341"/>
    <s v="CA-2014-122336"/>
    <x v="138"/>
    <x v="139"/>
    <x v="0"/>
    <x v="63"/>
    <s v="Jonathan Doherty"/>
    <x v="1"/>
    <s v="United States"/>
    <s v="Philadelphia"/>
    <s v="Pennsylvania"/>
    <n v="19140"/>
    <x v="3"/>
    <s v="OFF-AR-10000122"/>
    <x v="1"/>
    <s v="Art"/>
    <s v="Newell 314"/>
    <n v="17.856000000000002"/>
    <n v="4"/>
    <x v="2"/>
    <n v="1.1160000000000001"/>
  </r>
  <r>
    <n v="342"/>
    <s v="CA-2014-122336"/>
    <x v="138"/>
    <x v="139"/>
    <x v="0"/>
    <x v="63"/>
    <s v="Jonathan Doherty"/>
    <x v="1"/>
    <s v="United States"/>
    <s v="Philadelphia"/>
    <s v="Pennsylvania"/>
    <n v="19140"/>
    <x v="3"/>
    <s v="OFF-BI-10003656"/>
    <x v="1"/>
    <s v="Binders"/>
    <s v="Fellowes PB200 Plastic Comb Binding Machine"/>
    <n v="509.97"/>
    <n v="10"/>
    <x v="6"/>
    <n v="-407.976"/>
  </r>
  <r>
    <n v="343"/>
    <s v="CA-2014-122336"/>
    <x v="138"/>
    <x v="139"/>
    <x v="0"/>
    <x v="63"/>
    <s v="Jonathan Doherty"/>
    <x v="1"/>
    <s v="United States"/>
    <s v="Philadelphia"/>
    <s v="Pennsylvania"/>
    <n v="19140"/>
    <x v="3"/>
    <s v="OFF-FA-10002780"/>
    <x v="1"/>
    <s v="Fasteners"/>
    <s v="Staples"/>
    <n v="30.992000000000001"/>
    <n v="13"/>
    <x v="2"/>
    <n v="10.0724"/>
  </r>
  <r>
    <n v="344"/>
    <s v="CA-2014-122336"/>
    <x v="138"/>
    <x v="139"/>
    <x v="0"/>
    <x v="63"/>
    <s v="Jonathan Doherty"/>
    <x v="1"/>
    <s v="United States"/>
    <s v="Philadelphia"/>
    <s v="Pennsylvania"/>
    <n v="19140"/>
    <x v="3"/>
    <s v="TEC-PH-10000702"/>
    <x v="2"/>
    <s v="Phones"/>
    <s v="Square Credit Card Reader, 4 1/2&quot; x 4 1/2&quot; x 1&quot;, White"/>
    <n v="71.927999999999997"/>
    <n v="12"/>
    <x v="10"/>
    <n v="8.3915999999999897"/>
  </r>
  <r>
    <n v="345"/>
    <s v="US-2015-120712"/>
    <x v="139"/>
    <x v="140"/>
    <x v="1"/>
    <x v="79"/>
    <s v="Chad Sievert"/>
    <x v="0"/>
    <s v="United States"/>
    <s v="Austin"/>
    <s v="Texas"/>
    <n v="78745"/>
    <x v="2"/>
    <s v="OFF-ST-10000107"/>
    <x v="1"/>
    <s v="Storage"/>
    <s v="Fellowes Super Stor/Drawer"/>
    <n v="88.8"/>
    <n v="4"/>
    <x v="2"/>
    <n v="-2.22000000000001"/>
  </r>
  <r>
    <n v="346"/>
    <s v="CA-2017-169901"/>
    <x v="140"/>
    <x v="141"/>
    <x v="1"/>
    <x v="142"/>
    <s v="Clay Cheatham"/>
    <x v="0"/>
    <s v="United States"/>
    <s v="San Francisco"/>
    <s v="California"/>
    <n v="94122"/>
    <x v="1"/>
    <s v="TEC-PH-10002293"/>
    <x v="2"/>
    <s v="Phones"/>
    <s v="Anker 36W 4-Port USB Wall Charger Travel Power Adapter for iPhone 5s 5c 5"/>
    <n v="47.975999999999999"/>
    <n v="3"/>
    <x v="2"/>
    <n v="4.7976000000000001"/>
  </r>
  <r>
    <n v="347"/>
    <s v="CA-2017-134306"/>
    <x v="141"/>
    <x v="142"/>
    <x v="1"/>
    <x v="143"/>
    <s v="Tamara Dahlen"/>
    <x v="0"/>
    <s v="United States"/>
    <s v="Lowell"/>
    <s v="Massachusetts"/>
    <n v="1852"/>
    <x v="3"/>
    <s v="OFF-AR-10004027"/>
    <x v="1"/>
    <s v="Art"/>
    <s v="Binney &amp; Smith inkTank Erasable Desk Highlighter, Chisel Tip, Yellow, 12/Box"/>
    <n v="7.56"/>
    <n v="3"/>
    <x v="0"/>
    <n v="3.0996000000000001"/>
  </r>
  <r>
    <n v="348"/>
    <s v="CA-2017-134306"/>
    <x v="141"/>
    <x v="142"/>
    <x v="1"/>
    <x v="143"/>
    <s v="Tamara Dahlen"/>
    <x v="0"/>
    <s v="United States"/>
    <s v="Lowell"/>
    <s v="Massachusetts"/>
    <n v="1852"/>
    <x v="3"/>
    <s v="OFF-PA-10000249"/>
    <x v="1"/>
    <s v="Paper"/>
    <s v="Easy-staple paper"/>
    <n v="24.56"/>
    <n v="2"/>
    <x v="0"/>
    <n v="11.543200000000001"/>
  </r>
  <r>
    <n v="349"/>
    <s v="CA-2017-134306"/>
    <x v="141"/>
    <x v="142"/>
    <x v="1"/>
    <x v="143"/>
    <s v="Tamara Dahlen"/>
    <x v="0"/>
    <s v="United States"/>
    <s v="Lowell"/>
    <s v="Massachusetts"/>
    <n v="1852"/>
    <x v="3"/>
    <s v="OFF-AR-10001374"/>
    <x v="1"/>
    <s v="Art"/>
    <s v="BIC Brite Liner Highlighters, Chisel Tip"/>
    <n v="12.96"/>
    <n v="2"/>
    <x v="0"/>
    <n v="4.1471999999999998"/>
  </r>
  <r>
    <n v="350"/>
    <s v="CA-2016-129714"/>
    <x v="142"/>
    <x v="143"/>
    <x v="2"/>
    <x v="144"/>
    <s v="Adam Bellavance"/>
    <x v="2"/>
    <s v="United States"/>
    <s v="New York City"/>
    <s v="New York"/>
    <n v="10009"/>
    <x v="3"/>
    <s v="TEC-AC-10000290"/>
    <x v="2"/>
    <s v="Accessories"/>
    <s v="Sabrent 4-Port USB 2.0 Hub"/>
    <n v="6.79"/>
    <n v="1"/>
    <x v="0"/>
    <n v="2.3086000000000002"/>
  </r>
  <r>
    <n v="351"/>
    <s v="CA-2016-129714"/>
    <x v="142"/>
    <x v="143"/>
    <x v="2"/>
    <x v="144"/>
    <s v="Adam Bellavance"/>
    <x v="2"/>
    <s v="United States"/>
    <s v="New York City"/>
    <s v="New York"/>
    <n v="10009"/>
    <x v="3"/>
    <s v="OFF-PA-10001970"/>
    <x v="1"/>
    <s v="Paper"/>
    <s v="Xerox 1881"/>
    <n v="24.56"/>
    <n v="2"/>
    <x v="0"/>
    <n v="11.543200000000001"/>
  </r>
  <r>
    <n v="352"/>
    <s v="CA-2016-129714"/>
    <x v="142"/>
    <x v="143"/>
    <x v="2"/>
    <x v="144"/>
    <s v="Adam Bellavance"/>
    <x v="2"/>
    <s v="United States"/>
    <s v="New York City"/>
    <s v="New York"/>
    <n v="10009"/>
    <x v="3"/>
    <s v="OFF-BI-10002160"/>
    <x v="1"/>
    <s v="Binders"/>
    <s v="Acco Hanging Data Binders"/>
    <n v="3.048"/>
    <n v="1"/>
    <x v="2"/>
    <n v="1.0668"/>
  </r>
  <r>
    <n v="353"/>
    <s v="CA-2016-129714"/>
    <x v="142"/>
    <x v="143"/>
    <x v="2"/>
    <x v="144"/>
    <s v="Adam Bellavance"/>
    <x v="2"/>
    <s v="United States"/>
    <s v="New York City"/>
    <s v="New York"/>
    <n v="10009"/>
    <x v="3"/>
    <s v="OFF-PA-10001970"/>
    <x v="1"/>
    <s v="Paper"/>
    <s v="Xerox 1881"/>
    <n v="49.12"/>
    <n v="4"/>
    <x v="0"/>
    <n v="23.086400000000001"/>
  </r>
  <r>
    <n v="354"/>
    <s v="CA-2016-129714"/>
    <x v="142"/>
    <x v="143"/>
    <x v="2"/>
    <x v="144"/>
    <s v="Adam Bellavance"/>
    <x v="2"/>
    <s v="United States"/>
    <s v="New York City"/>
    <s v="New York"/>
    <n v="10009"/>
    <x v="3"/>
    <s v="OFF-BI-10004995"/>
    <x v="1"/>
    <s v="Binders"/>
    <s v="GBC DocuBind P400 Electric Binding System"/>
    <n v="4355.1679999999997"/>
    <n v="4"/>
    <x v="2"/>
    <n v="1415.4295999999999"/>
  </r>
  <r>
    <n v="355"/>
    <s v="CA-2016-138520"/>
    <x v="143"/>
    <x v="144"/>
    <x v="1"/>
    <x v="145"/>
    <s v="Jeremy Lonsdale"/>
    <x v="0"/>
    <s v="United States"/>
    <s v="New York City"/>
    <s v="New York"/>
    <n v="10035"/>
    <x v="3"/>
    <s v="FUR-BO-10002268"/>
    <x v="0"/>
    <s v="Bookcases"/>
    <s v="Sauder Barrister Bookcases"/>
    <n v="388.70400000000001"/>
    <n v="6"/>
    <x v="2"/>
    <n v="-4.8587999999999996"/>
  </r>
  <r>
    <n v="356"/>
    <s v="CA-2016-138520"/>
    <x v="143"/>
    <x v="144"/>
    <x v="1"/>
    <x v="145"/>
    <s v="Jeremy Lonsdale"/>
    <x v="0"/>
    <s v="United States"/>
    <s v="New York City"/>
    <s v="New York"/>
    <n v="10035"/>
    <x v="3"/>
    <s v="OFF-EN-10001137"/>
    <x v="1"/>
    <s v="Envelopes"/>
    <s v="#10 Gummed Flap White Envelopes, 100/Box"/>
    <n v="8.26"/>
    <n v="2"/>
    <x v="0"/>
    <n v="3.7995999999999999"/>
  </r>
  <r>
    <n v="357"/>
    <s v="CA-2016-138520"/>
    <x v="143"/>
    <x v="144"/>
    <x v="1"/>
    <x v="145"/>
    <s v="Jeremy Lonsdale"/>
    <x v="0"/>
    <s v="United States"/>
    <s v="New York City"/>
    <s v="New York"/>
    <n v="10035"/>
    <x v="3"/>
    <s v="OFF-AR-10002399"/>
    <x v="1"/>
    <s v="Art"/>
    <s v="Dixon Prang Watercolor Pencils, 10-Color Set with Brush"/>
    <n v="17.04"/>
    <n v="4"/>
    <x v="0"/>
    <n v="6.9863999999999997"/>
  </r>
  <r>
    <n v="358"/>
    <s v="CA-2016-138520"/>
    <x v="143"/>
    <x v="144"/>
    <x v="1"/>
    <x v="145"/>
    <s v="Jeremy Lonsdale"/>
    <x v="0"/>
    <s v="United States"/>
    <s v="New York City"/>
    <s v="New York"/>
    <n v="10035"/>
    <x v="3"/>
    <s v="OFF-PA-10002713"/>
    <x v="1"/>
    <s v="Paper"/>
    <s v="Adams Phone Message Book, 200 Message Capacity, 8 1/16” x 11”"/>
    <n v="34.4"/>
    <n v="5"/>
    <x v="0"/>
    <n v="15.824"/>
  </r>
  <r>
    <n v="359"/>
    <s v="CA-2016-130001"/>
    <x v="131"/>
    <x v="145"/>
    <x v="1"/>
    <x v="96"/>
    <s v="Heather Kirkland"/>
    <x v="1"/>
    <s v="United States"/>
    <s v="Charlotte"/>
    <s v="North Carolina"/>
    <n v="28205"/>
    <x v="0"/>
    <s v="OFF-PA-10002666"/>
    <x v="1"/>
    <s v="Paper"/>
    <s v="Southworth 25% Cotton Linen-Finish Paper &amp; Envelopes"/>
    <n v="36.24"/>
    <n v="5"/>
    <x v="2"/>
    <n v="11.324999999999999"/>
  </r>
  <r>
    <n v="360"/>
    <s v="CA-2017-155698"/>
    <x v="144"/>
    <x v="146"/>
    <x v="2"/>
    <x v="146"/>
    <s v="Victoria Brennan"/>
    <x v="1"/>
    <s v="United States"/>
    <s v="Columbus"/>
    <s v="Georgia"/>
    <n v="31907"/>
    <x v="0"/>
    <s v="OFF-AP-10001124"/>
    <x v="1"/>
    <s v="Appliances"/>
    <s v="Belkin 8 Outlet SurgeMaster II Gold Surge Protector with Phone Protection"/>
    <n v="647.84"/>
    <n v="8"/>
    <x v="0"/>
    <n v="168.4384"/>
  </r>
  <r>
    <n v="361"/>
    <s v="CA-2017-155698"/>
    <x v="144"/>
    <x v="146"/>
    <x v="2"/>
    <x v="146"/>
    <s v="Victoria Brennan"/>
    <x v="1"/>
    <s v="United States"/>
    <s v="Columbus"/>
    <s v="Georgia"/>
    <n v="31907"/>
    <x v="0"/>
    <s v="OFF-LA-10001158"/>
    <x v="1"/>
    <s v="Labels"/>
    <s v="Avery Address/Shipping Labels for Typewriters, 4&quot; x 2&quot;"/>
    <n v="20.7"/>
    <n v="2"/>
    <x v="0"/>
    <n v="9.9359999999999999"/>
  </r>
  <r>
    <n v="362"/>
    <s v="CA-2017-144904"/>
    <x v="145"/>
    <x v="147"/>
    <x v="1"/>
    <x v="147"/>
    <s v="Katrina Willman"/>
    <x v="0"/>
    <s v="United States"/>
    <s v="New York City"/>
    <s v="New York"/>
    <n v="10009"/>
    <x v="3"/>
    <s v="OFF-LA-10001158"/>
    <x v="1"/>
    <s v="Labels"/>
    <s v="Avery Address/Shipping Labels for Typewriters, 4&quot; x 2&quot;"/>
    <n v="20.7"/>
    <n v="2"/>
    <x v="0"/>
    <n v="9.9359999999999999"/>
  </r>
  <r>
    <n v="363"/>
    <s v="CA-2017-144904"/>
    <x v="145"/>
    <x v="147"/>
    <x v="1"/>
    <x v="147"/>
    <s v="Katrina Willman"/>
    <x v="0"/>
    <s v="United States"/>
    <s v="New York City"/>
    <s v="New York"/>
    <n v="10009"/>
    <x v="3"/>
    <s v="FUR-CH-10000785"/>
    <x v="0"/>
    <s v="Chairs"/>
    <s v="Global Ergonomic Managers Chair"/>
    <n v="488.64600000000002"/>
    <n v="3"/>
    <x v="9"/>
    <n v="86.870400000000004"/>
  </r>
  <r>
    <n v="364"/>
    <s v="CA-2017-144904"/>
    <x v="145"/>
    <x v="147"/>
    <x v="1"/>
    <x v="147"/>
    <s v="Katrina Willman"/>
    <x v="0"/>
    <s v="United States"/>
    <s v="New York City"/>
    <s v="New York"/>
    <n v="10009"/>
    <x v="3"/>
    <s v="OFF-AR-10003732"/>
    <x v="1"/>
    <s v="Art"/>
    <s v="Newell 333"/>
    <n v="5.56"/>
    <n v="2"/>
    <x v="0"/>
    <n v="1.4456"/>
  </r>
  <r>
    <n v="365"/>
    <s v="CA-2017-144904"/>
    <x v="145"/>
    <x v="147"/>
    <x v="1"/>
    <x v="147"/>
    <s v="Katrina Willman"/>
    <x v="0"/>
    <s v="United States"/>
    <s v="New York City"/>
    <s v="New York"/>
    <n v="10009"/>
    <x v="3"/>
    <s v="FUR-FU-10000023"/>
    <x v="0"/>
    <s v="Furnishings"/>
    <s v="Eldon Wave Desk Accessories"/>
    <n v="47.12"/>
    <n v="8"/>
    <x v="0"/>
    <n v="20.732800000000001"/>
  </r>
  <r>
    <n v="366"/>
    <s v="CA-2014-123344"/>
    <x v="146"/>
    <x v="148"/>
    <x v="1"/>
    <x v="148"/>
    <s v="Julia Dunbar"/>
    <x v="0"/>
    <s v="United States"/>
    <s v="San Francisco"/>
    <s v="California"/>
    <n v="94109"/>
    <x v="1"/>
    <s v="OFF-ST-10001713"/>
    <x v="1"/>
    <s v="Storage"/>
    <s v="Gould Plastics 9-Pocket Panel Bin, 18-3/8w x 5-1/4d x 20-1/2h, Black"/>
    <n v="211.96"/>
    <n v="4"/>
    <x v="0"/>
    <n v="8.4783999999999899"/>
  </r>
  <r>
    <n v="367"/>
    <s v="CA-2016-155516"/>
    <x v="147"/>
    <x v="149"/>
    <x v="3"/>
    <x v="149"/>
    <s v="Michael Kennedy"/>
    <x v="1"/>
    <s v="United States"/>
    <s v="Manchester"/>
    <s v="Connecticut"/>
    <n v="6040"/>
    <x v="3"/>
    <s v="OFF-BI-10002412"/>
    <x v="1"/>
    <s v="Binders"/>
    <s v="Wilson Jones “Snap” Scratch Pad Binder Tool for Ring Binders"/>
    <n v="23.2"/>
    <n v="4"/>
    <x v="0"/>
    <n v="10.44"/>
  </r>
  <r>
    <n v="368"/>
    <s v="CA-2016-155516"/>
    <x v="147"/>
    <x v="149"/>
    <x v="3"/>
    <x v="149"/>
    <s v="Michael Kennedy"/>
    <x v="1"/>
    <s v="United States"/>
    <s v="Manchester"/>
    <s v="Connecticut"/>
    <n v="6040"/>
    <x v="3"/>
    <s v="OFF-SU-10001225"/>
    <x v="1"/>
    <s v="Supplies"/>
    <s v="Staple remover"/>
    <n v="7.36"/>
    <n v="2"/>
    <x v="0"/>
    <n v="0.1472"/>
  </r>
  <r>
    <n v="369"/>
    <s v="CA-2016-155516"/>
    <x v="147"/>
    <x v="149"/>
    <x v="3"/>
    <x v="149"/>
    <s v="Michael Kennedy"/>
    <x v="1"/>
    <s v="United States"/>
    <s v="Manchester"/>
    <s v="Connecticut"/>
    <n v="6040"/>
    <x v="3"/>
    <s v="OFF-ST-10002406"/>
    <x v="1"/>
    <s v="Storage"/>
    <s v="Pizazz Global Quick File"/>
    <n v="104.79"/>
    <n v="7"/>
    <x v="0"/>
    <n v="29.341200000000001"/>
  </r>
  <r>
    <n v="370"/>
    <s v="CA-2016-155516"/>
    <x v="147"/>
    <x v="149"/>
    <x v="3"/>
    <x v="149"/>
    <s v="Michael Kennedy"/>
    <x v="1"/>
    <s v="United States"/>
    <s v="Manchester"/>
    <s v="Connecticut"/>
    <n v="6040"/>
    <x v="3"/>
    <s v="FUR-BO-10002545"/>
    <x v="0"/>
    <s v="Bookcases"/>
    <s v="Atlantic Metals Mobile 3-Shelf Bookcases, Custom Colors"/>
    <n v="1043.92"/>
    <n v="4"/>
    <x v="0"/>
    <n v="271.41919999999999"/>
  </r>
  <r>
    <n v="371"/>
    <s v="CA-2017-104745"/>
    <x v="148"/>
    <x v="150"/>
    <x v="1"/>
    <x v="150"/>
    <s v="Guy Thornton"/>
    <x v="0"/>
    <s v="United States"/>
    <s v="Harlingen"/>
    <s v="Texas"/>
    <n v="78550"/>
    <x v="2"/>
    <s v="OFF-PA-10002036"/>
    <x v="1"/>
    <s v="Paper"/>
    <s v="Xerox 1930"/>
    <n v="25.92"/>
    <n v="5"/>
    <x v="2"/>
    <n v="9.3960000000000008"/>
  </r>
  <r>
    <n v="372"/>
    <s v="CA-2017-104745"/>
    <x v="148"/>
    <x v="150"/>
    <x v="1"/>
    <x v="150"/>
    <s v="Guy Thornton"/>
    <x v="0"/>
    <s v="United States"/>
    <s v="Harlingen"/>
    <s v="Texas"/>
    <n v="78550"/>
    <x v="2"/>
    <s v="OFF-ST-10002205"/>
    <x v="1"/>
    <s v="Storage"/>
    <s v="File Shuttle I and Handi-File"/>
    <n v="53.423999999999999"/>
    <n v="3"/>
    <x v="2"/>
    <n v="4.6745999999999999"/>
  </r>
  <r>
    <n v="373"/>
    <s v="US-2014-119137"/>
    <x v="149"/>
    <x v="151"/>
    <x v="1"/>
    <x v="151"/>
    <s v="Arthur Gainer"/>
    <x v="0"/>
    <s v="United States"/>
    <s v="Tucson"/>
    <s v="Arizona"/>
    <n v="85705"/>
    <x v="1"/>
    <s v="OFF-BI-10001982"/>
    <x v="1"/>
    <s v="Binders"/>
    <s v="Wilson Jones Custom Binder Spines &amp; Labels"/>
    <n v="8.16"/>
    <n v="5"/>
    <x v="6"/>
    <n v="-5.7119999999999997"/>
  </r>
  <r>
    <n v="374"/>
    <s v="US-2014-119137"/>
    <x v="149"/>
    <x v="151"/>
    <x v="1"/>
    <x v="151"/>
    <s v="Arthur Gainer"/>
    <x v="0"/>
    <s v="United States"/>
    <s v="Tucson"/>
    <s v="Arizona"/>
    <n v="85705"/>
    <x v="1"/>
    <s v="TEC-AC-10003911"/>
    <x v="2"/>
    <s v="Accessories"/>
    <s v="NETGEAR AC1750 Dual Band Gigabit Smart WiFi Router"/>
    <n v="1023.936"/>
    <n v="8"/>
    <x v="2"/>
    <n v="179.18879999999999"/>
  </r>
  <r>
    <n v="375"/>
    <s v="US-2014-119137"/>
    <x v="149"/>
    <x v="151"/>
    <x v="1"/>
    <x v="151"/>
    <s v="Arthur Gainer"/>
    <x v="0"/>
    <s v="United States"/>
    <s v="Tucson"/>
    <s v="Arizona"/>
    <n v="85705"/>
    <x v="1"/>
    <s v="OFF-AR-10000658"/>
    <x v="1"/>
    <s v="Art"/>
    <s v="Newell 324"/>
    <n v="9.24"/>
    <n v="1"/>
    <x v="2"/>
    <n v="0.92400000000000004"/>
  </r>
  <r>
    <n v="376"/>
    <s v="US-2014-119137"/>
    <x v="149"/>
    <x v="151"/>
    <x v="1"/>
    <x v="151"/>
    <s v="Arthur Gainer"/>
    <x v="0"/>
    <s v="United States"/>
    <s v="Tucson"/>
    <s v="Arizona"/>
    <n v="85705"/>
    <x v="1"/>
    <s v="TEC-AC-10002076"/>
    <x v="2"/>
    <s v="Accessories"/>
    <s v="Microsoft Natural Keyboard Elite"/>
    <n v="479.04"/>
    <n v="10"/>
    <x v="2"/>
    <n v="-29.94"/>
  </r>
  <r>
    <n v="377"/>
    <s v="US-2016-134656"/>
    <x v="150"/>
    <x v="152"/>
    <x v="2"/>
    <x v="152"/>
    <s v="Muhammed MacIntyre"/>
    <x v="1"/>
    <s v="United States"/>
    <s v="Quincy"/>
    <s v="Illinois"/>
    <n v="62301"/>
    <x v="2"/>
    <s v="OFF-PA-10003039"/>
    <x v="1"/>
    <s v="Paper"/>
    <s v="Xerox 1960"/>
    <n v="99.135999999999996"/>
    <n v="4"/>
    <x v="2"/>
    <n v="30.98"/>
  </r>
  <r>
    <n v="378"/>
    <s v="US-2017-134481"/>
    <x v="151"/>
    <x v="153"/>
    <x v="1"/>
    <x v="153"/>
    <s v="Allen Rosenblatt"/>
    <x v="1"/>
    <s v="United States"/>
    <s v="Franklin"/>
    <s v="Massachusetts"/>
    <n v="2038"/>
    <x v="3"/>
    <s v="FUR-TA-10004915"/>
    <x v="0"/>
    <s v="Tables"/>
    <s v="Office Impressions End Table, 20-1/2&quot;H x 24&quot;W x 20&quot;D"/>
    <n v="1488.424"/>
    <n v="7"/>
    <x v="4"/>
    <n v="-297.6848"/>
  </r>
  <r>
    <n v="379"/>
    <s v="CA-2015-130792"/>
    <x v="152"/>
    <x v="27"/>
    <x v="1"/>
    <x v="154"/>
    <s v="Russell Applegate"/>
    <x v="0"/>
    <s v="United States"/>
    <s v="Houston"/>
    <s v="Texas"/>
    <n v="77095"/>
    <x v="2"/>
    <s v="OFF-AP-10000696"/>
    <x v="1"/>
    <s v="Appliances"/>
    <s v="Holmes Odor Grabber"/>
    <n v="8.6519999999999992"/>
    <n v="3"/>
    <x v="3"/>
    <n v="-20.3322"/>
  </r>
  <r>
    <n v="380"/>
    <s v="CA-2015-130792"/>
    <x v="152"/>
    <x v="27"/>
    <x v="1"/>
    <x v="154"/>
    <s v="Russell Applegate"/>
    <x v="0"/>
    <s v="United States"/>
    <s v="Houston"/>
    <s v="Texas"/>
    <n v="77095"/>
    <x v="2"/>
    <s v="OFF-ST-10003327"/>
    <x v="1"/>
    <s v="Storage"/>
    <s v="Akro-Mils 12-Gallon Tote"/>
    <n v="23.832000000000001"/>
    <n v="3"/>
    <x v="2"/>
    <n v="2.6810999999999998"/>
  </r>
  <r>
    <n v="381"/>
    <s v="CA-2015-130792"/>
    <x v="152"/>
    <x v="27"/>
    <x v="1"/>
    <x v="154"/>
    <s v="Russell Applegate"/>
    <x v="0"/>
    <s v="United States"/>
    <s v="Houston"/>
    <s v="Texas"/>
    <n v="77095"/>
    <x v="2"/>
    <s v="OFF-BI-10000309"/>
    <x v="1"/>
    <s v="Binders"/>
    <s v="GBC Twin Loop Wire Binding Elements, 9/16&quot; Spine, Black"/>
    <n v="12.176"/>
    <n v="4"/>
    <x v="3"/>
    <n v="-18.872800000000002"/>
  </r>
  <r>
    <n v="382"/>
    <s v="CA-2016-134775"/>
    <x v="99"/>
    <x v="154"/>
    <x v="2"/>
    <x v="155"/>
    <s v="Alejandro Savely"/>
    <x v="1"/>
    <s v="United States"/>
    <s v="San Francisco"/>
    <s v="California"/>
    <n v="94109"/>
    <x v="1"/>
    <s v="OFF-PA-10004734"/>
    <x v="1"/>
    <s v="Paper"/>
    <s v="Southworth Structures Collection"/>
    <n v="50.96"/>
    <n v="7"/>
    <x v="0"/>
    <n v="25.48"/>
  </r>
  <r>
    <n v="383"/>
    <s v="CA-2016-134775"/>
    <x v="99"/>
    <x v="154"/>
    <x v="2"/>
    <x v="155"/>
    <s v="Alejandro Savely"/>
    <x v="1"/>
    <s v="United States"/>
    <s v="San Francisco"/>
    <s v="California"/>
    <n v="94109"/>
    <x v="1"/>
    <s v="OFF-BI-10002225"/>
    <x v="1"/>
    <s v="Binders"/>
    <s v="Square Ring Data Binders, Rigid 75 Pt. Covers, 11&quot; x 14-7/8&quot;"/>
    <n v="49.536000000000001"/>
    <n v="3"/>
    <x v="2"/>
    <n v="17.337599999999998"/>
  </r>
  <r>
    <n v="384"/>
    <s v="CA-2015-125395"/>
    <x v="153"/>
    <x v="155"/>
    <x v="0"/>
    <x v="156"/>
    <s v="Laura Armstrong"/>
    <x v="1"/>
    <s v="United States"/>
    <s v="Taylor"/>
    <s v="Michigan"/>
    <n v="48180"/>
    <x v="2"/>
    <s v="TEC-AC-10004708"/>
    <x v="2"/>
    <s v="Accessories"/>
    <s v="Sony 32GB Class 10 Micro SDHC R40 Memory Card"/>
    <n v="41.9"/>
    <n v="2"/>
    <x v="0"/>
    <n v="8.7989999999999995"/>
  </r>
  <r>
    <n v="385"/>
    <s v="US-2015-168935"/>
    <x v="154"/>
    <x v="156"/>
    <x v="1"/>
    <x v="157"/>
    <s v="Denny Ordway"/>
    <x v="0"/>
    <s v="United States"/>
    <s v="Pembroke Pines"/>
    <s v="Florida"/>
    <n v="33024"/>
    <x v="0"/>
    <s v="FUR-TA-10000617"/>
    <x v="0"/>
    <s v="Tables"/>
    <s v="Hon Practical Foundations 30 x 60 Training Table, Light Gray/Charcoal"/>
    <n v="375.45749999999998"/>
    <n v="3"/>
    <x v="1"/>
    <n v="-157.0095"/>
  </r>
  <r>
    <n v="386"/>
    <s v="US-2015-168935"/>
    <x v="154"/>
    <x v="156"/>
    <x v="1"/>
    <x v="157"/>
    <s v="Denny Ordway"/>
    <x v="0"/>
    <s v="United States"/>
    <s v="Pembroke Pines"/>
    <s v="Florida"/>
    <n v="33024"/>
    <x v="0"/>
    <s v="TEC-AC-10002335"/>
    <x v="2"/>
    <s v="Accessories"/>
    <s v="Logitech Media Keyboard K200"/>
    <n v="83.975999999999999"/>
    <n v="3"/>
    <x v="2"/>
    <n v="-1.0497000000000001"/>
  </r>
  <r>
    <n v="387"/>
    <s v="CA-2015-122756"/>
    <x v="155"/>
    <x v="157"/>
    <x v="1"/>
    <x v="158"/>
    <s v="Dean Katz"/>
    <x v="1"/>
    <s v="United States"/>
    <s v="Philadelphia"/>
    <s v="Pennsylvania"/>
    <n v="19140"/>
    <x v="3"/>
    <s v="TEC-MA-10001681"/>
    <x v="2"/>
    <s v="Machines"/>
    <s v="Lexmark MarkNet N8150 Wireless Print Server"/>
    <n v="482.34"/>
    <n v="4"/>
    <x v="6"/>
    <n v="-337.63799999999998"/>
  </r>
  <r>
    <n v="388"/>
    <s v="CA-2015-122756"/>
    <x v="155"/>
    <x v="157"/>
    <x v="1"/>
    <x v="158"/>
    <s v="Dean Katz"/>
    <x v="1"/>
    <s v="United States"/>
    <s v="Philadelphia"/>
    <s v="Pennsylvania"/>
    <n v="19140"/>
    <x v="3"/>
    <s v="FUR-FU-10001935"/>
    <x v="0"/>
    <s v="Furnishings"/>
    <s v="3M Hangers With Command Adhesive"/>
    <n v="2.96"/>
    <n v="1"/>
    <x v="2"/>
    <n v="0.77700000000000002"/>
  </r>
  <r>
    <n v="389"/>
    <s v="CA-2014-115973"/>
    <x v="156"/>
    <x v="158"/>
    <x v="2"/>
    <x v="159"/>
    <s v="Nathan Gelder"/>
    <x v="0"/>
    <s v="United States"/>
    <s v="Cincinnati"/>
    <s v="Ohio"/>
    <n v="45231"/>
    <x v="3"/>
    <s v="OFF-AR-10004757"/>
    <x v="1"/>
    <s v="Art"/>
    <s v="Crayola Colored Pencils"/>
    <n v="2.6240000000000001"/>
    <n v="1"/>
    <x v="2"/>
    <n v="0.4264"/>
  </r>
  <r>
    <n v="390"/>
    <s v="CA-2017-101798"/>
    <x v="157"/>
    <x v="159"/>
    <x v="1"/>
    <x v="160"/>
    <s v="Mike Vittorini"/>
    <x v="0"/>
    <s v="United States"/>
    <s v="New York City"/>
    <s v="New York"/>
    <n v="10009"/>
    <x v="3"/>
    <s v="OFF-BI-10000050"/>
    <x v="1"/>
    <s v="Binders"/>
    <s v="Angle-D Binders with Locking Rings, Label Holders"/>
    <n v="23.36"/>
    <n v="4"/>
    <x v="2"/>
    <n v="7.8840000000000003"/>
  </r>
  <r>
    <n v="391"/>
    <s v="CA-2017-101798"/>
    <x v="157"/>
    <x v="159"/>
    <x v="1"/>
    <x v="160"/>
    <s v="Mike Vittorini"/>
    <x v="0"/>
    <s v="United States"/>
    <s v="New York City"/>
    <s v="New York"/>
    <n v="10009"/>
    <x v="3"/>
    <s v="TEC-AC-10001998"/>
    <x v="2"/>
    <s v="Accessories"/>
    <s v="Logitech LS21 Speaker System - PC Multimedia - 2.1-CH - Wired"/>
    <n v="39.979999999999997"/>
    <n v="2"/>
    <x v="0"/>
    <n v="13.5932"/>
  </r>
  <r>
    <n v="392"/>
    <s v="US-2014-135972"/>
    <x v="158"/>
    <x v="160"/>
    <x v="0"/>
    <x v="161"/>
    <s v="Jack Garza"/>
    <x v="0"/>
    <s v="United States"/>
    <s v="Des Moines"/>
    <s v="Washington"/>
    <n v="98198"/>
    <x v="1"/>
    <s v="TEC-PH-10003012"/>
    <x v="2"/>
    <s v="Phones"/>
    <s v="Nortel Meridian M3904 Professional Digital phone"/>
    <n v="246.38399999999999"/>
    <n v="2"/>
    <x v="2"/>
    <n v="27.7182"/>
  </r>
  <r>
    <n v="393"/>
    <s v="US-2014-135972"/>
    <x v="158"/>
    <x v="160"/>
    <x v="0"/>
    <x v="161"/>
    <s v="Jack Garza"/>
    <x v="0"/>
    <s v="United States"/>
    <s v="Des Moines"/>
    <s v="Washington"/>
    <n v="98198"/>
    <x v="1"/>
    <s v="TEC-CO-10002313"/>
    <x v="2"/>
    <s v="Copiers"/>
    <s v="Canon PC1080F Personal Copier"/>
    <n v="1799.97"/>
    <n v="3"/>
    <x v="0"/>
    <n v="701.98829999999998"/>
  </r>
  <r>
    <n v="394"/>
    <s v="US-2014-134971"/>
    <x v="159"/>
    <x v="161"/>
    <x v="0"/>
    <x v="162"/>
    <s v="Bart Pistole"/>
    <x v="1"/>
    <s v="United States"/>
    <s v="Peoria"/>
    <s v="Illinois"/>
    <n v="61604"/>
    <x v="2"/>
    <s v="OFF-BI-10003982"/>
    <x v="1"/>
    <s v="Binders"/>
    <s v="Wilson Jones Century Plastic Molded Ring Binders"/>
    <n v="12.462"/>
    <n v="3"/>
    <x v="3"/>
    <n v="-20.5623"/>
  </r>
  <r>
    <n v="395"/>
    <s v="CA-2017-102946"/>
    <x v="160"/>
    <x v="162"/>
    <x v="1"/>
    <x v="163"/>
    <s v="Victor Preis"/>
    <x v="2"/>
    <s v="United States"/>
    <s v="Las Vegas"/>
    <s v="Nevada"/>
    <n v="89115"/>
    <x v="1"/>
    <s v="OFF-BI-10004492"/>
    <x v="1"/>
    <s v="Binders"/>
    <s v="Tuf-Vin Binders"/>
    <n v="75.792000000000002"/>
    <n v="3"/>
    <x v="2"/>
    <n v="25.579799999999999"/>
  </r>
  <r>
    <n v="396"/>
    <s v="CA-2017-165603"/>
    <x v="161"/>
    <x v="163"/>
    <x v="0"/>
    <x v="164"/>
    <s v="Saphhira Shifley"/>
    <x v="1"/>
    <s v="United States"/>
    <s v="Warwick"/>
    <s v="Rhode Island"/>
    <n v="2886"/>
    <x v="3"/>
    <s v="OFF-ST-10000798"/>
    <x v="1"/>
    <s v="Storage"/>
    <s v="2300 Heavy-Duty Transfer File Systems by Perma"/>
    <n v="49.96"/>
    <n v="2"/>
    <x v="0"/>
    <n v="9.4923999999999999"/>
  </r>
  <r>
    <n v="397"/>
    <s v="CA-2017-165603"/>
    <x v="161"/>
    <x v="163"/>
    <x v="0"/>
    <x v="164"/>
    <s v="Saphhira Shifley"/>
    <x v="1"/>
    <s v="United States"/>
    <s v="Warwick"/>
    <s v="Rhode Island"/>
    <n v="2886"/>
    <x v="3"/>
    <s v="OFF-PA-10002552"/>
    <x v="1"/>
    <s v="Paper"/>
    <s v="Xerox 1958"/>
    <n v="12.96"/>
    <n v="2"/>
    <x v="0"/>
    <n v="6.2207999999999997"/>
  </r>
  <r>
    <n v="398"/>
    <s v="CA-2015-122259"/>
    <x v="89"/>
    <x v="164"/>
    <x v="1"/>
    <x v="6"/>
    <s v="Harold Pawlan"/>
    <x v="2"/>
    <s v="United States"/>
    <s v="Jackson"/>
    <s v="Michigan"/>
    <n v="49201"/>
    <x v="2"/>
    <s v="OFF-SU-10002573"/>
    <x v="1"/>
    <s v="Supplies"/>
    <s v="Acme 10&quot; Easy Grip Assistive Scissors"/>
    <n v="70.12"/>
    <n v="4"/>
    <x v="0"/>
    <n v="21.036000000000001"/>
  </r>
  <r>
    <n v="399"/>
    <s v="CA-2016-108987"/>
    <x v="162"/>
    <x v="165"/>
    <x v="0"/>
    <x v="165"/>
    <s v="Anna Gayman"/>
    <x v="0"/>
    <s v="United States"/>
    <s v="Houston"/>
    <s v="Texas"/>
    <n v="77036"/>
    <x v="2"/>
    <s v="OFF-ST-10001580"/>
    <x v="1"/>
    <s v="Storage"/>
    <s v="Super Decoflex Portable Personal File"/>
    <n v="35.951999999999998"/>
    <n v="3"/>
    <x v="2"/>
    <n v="3.5952000000000002"/>
  </r>
  <r>
    <n v="400"/>
    <s v="CA-2016-108987"/>
    <x v="162"/>
    <x v="165"/>
    <x v="0"/>
    <x v="165"/>
    <s v="Anna Gayman"/>
    <x v="0"/>
    <s v="United States"/>
    <s v="Houston"/>
    <s v="Texas"/>
    <n v="77036"/>
    <x v="2"/>
    <s v="FUR-BO-10004834"/>
    <x v="0"/>
    <s v="Bookcases"/>
    <s v="Riverside Palais Royal Lawyers Bookcase, Royale Cherry Finish"/>
    <n v="2396.2656000000002"/>
    <n v="4"/>
    <x v="8"/>
    <n v="-317.15280000000001"/>
  </r>
  <r>
    <n v="401"/>
    <s v="CA-2016-108987"/>
    <x v="162"/>
    <x v="165"/>
    <x v="0"/>
    <x v="165"/>
    <s v="Anna Gayman"/>
    <x v="0"/>
    <s v="United States"/>
    <s v="Houston"/>
    <s v="Texas"/>
    <n v="77036"/>
    <x v="2"/>
    <s v="OFF-ST-10000934"/>
    <x v="1"/>
    <s v="Storage"/>
    <s v="Contico 72&quot;H Heavy-Duty Storage System"/>
    <n v="131.136"/>
    <n v="4"/>
    <x v="2"/>
    <n v="-32.783999999999999"/>
  </r>
  <r>
    <n v="402"/>
    <s v="CA-2016-108987"/>
    <x v="162"/>
    <x v="165"/>
    <x v="0"/>
    <x v="165"/>
    <s v="Anna Gayman"/>
    <x v="0"/>
    <s v="United States"/>
    <s v="Houston"/>
    <s v="Texas"/>
    <n v="77036"/>
    <x v="2"/>
    <s v="TEC-AC-10000158"/>
    <x v="2"/>
    <s v="Accessories"/>
    <s v="Sony 64GB Class 10 Micro SDHC R40 Memory Card"/>
    <n v="57.584000000000003"/>
    <n v="2"/>
    <x v="2"/>
    <n v="0.719799999999999"/>
  </r>
  <r>
    <n v="403"/>
    <s v="CA-2014-113166"/>
    <x v="163"/>
    <x v="166"/>
    <x v="2"/>
    <x v="166"/>
    <s v="Luke Foster"/>
    <x v="0"/>
    <s v="United States"/>
    <s v="Miami"/>
    <s v="Florida"/>
    <n v="33180"/>
    <x v="0"/>
    <s v="OFF-PA-10001947"/>
    <x v="1"/>
    <s v="Paper"/>
    <s v="Xerox 1974"/>
    <n v="9.5679999999999996"/>
    <n v="2"/>
    <x v="2"/>
    <n v="3.4683999999999999"/>
  </r>
  <r>
    <n v="404"/>
    <s v="CA-2014-155208"/>
    <x v="164"/>
    <x v="167"/>
    <x v="1"/>
    <x v="70"/>
    <s v="Stephanie Phelps"/>
    <x v="1"/>
    <s v="United States"/>
    <s v="Wilmington"/>
    <s v="North Carolina"/>
    <n v="28403"/>
    <x v="0"/>
    <s v="OFF-AR-10003478"/>
    <x v="1"/>
    <s v="Art"/>
    <s v="Avery Hi-Liter EverBold Pen Style Fluorescent Highlighters, 4/Pack"/>
    <n v="39.072000000000003"/>
    <n v="6"/>
    <x v="2"/>
    <n v="9.7680000000000007"/>
  </r>
  <r>
    <n v="405"/>
    <s v="CA-2017-117933"/>
    <x v="165"/>
    <x v="168"/>
    <x v="1"/>
    <x v="167"/>
    <s v="Roy Französisch"/>
    <x v="0"/>
    <s v="United States"/>
    <s v="New York City"/>
    <s v="New York"/>
    <n v="10024"/>
    <x v="3"/>
    <s v="OFF-AP-10004249"/>
    <x v="1"/>
    <s v="Appliances"/>
    <s v="Staple holder"/>
    <n v="35.909999999999997"/>
    <n v="3"/>
    <x v="0"/>
    <n v="9.6957000000000004"/>
  </r>
  <r>
    <n v="406"/>
    <s v="CA-2017-117457"/>
    <x v="166"/>
    <x v="169"/>
    <x v="1"/>
    <x v="168"/>
    <s v="Keith Herrera"/>
    <x v="0"/>
    <s v="United States"/>
    <s v="San Francisco"/>
    <s v="California"/>
    <n v="94110"/>
    <x v="1"/>
    <s v="TEC-AC-10000158"/>
    <x v="2"/>
    <s v="Accessories"/>
    <s v="Sony 64GB Class 10 Micro SDHC R40 Memory Card"/>
    <n v="179.95"/>
    <n v="5"/>
    <x v="0"/>
    <n v="37.789499999999997"/>
  </r>
  <r>
    <n v="407"/>
    <s v="CA-2017-117457"/>
    <x v="166"/>
    <x v="169"/>
    <x v="1"/>
    <x v="168"/>
    <s v="Keith Herrera"/>
    <x v="0"/>
    <s v="United States"/>
    <s v="San Francisco"/>
    <s v="California"/>
    <n v="94110"/>
    <x v="1"/>
    <s v="TEC-CO-10004115"/>
    <x v="2"/>
    <s v="Copiers"/>
    <s v="Sharp AL-1530CS Digital Copier"/>
    <n v="1199.9760000000001"/>
    <n v="3"/>
    <x v="2"/>
    <n v="434.99130000000002"/>
  </r>
  <r>
    <n v="408"/>
    <s v="CA-2017-117457"/>
    <x v="166"/>
    <x v="169"/>
    <x v="1"/>
    <x v="168"/>
    <s v="Keith Herrera"/>
    <x v="0"/>
    <s v="United States"/>
    <s v="San Francisco"/>
    <s v="California"/>
    <n v="94110"/>
    <x v="1"/>
    <s v="OFF-PA-10003724"/>
    <x v="1"/>
    <s v="Paper"/>
    <s v="Wirebound Message Book, 4 per Page"/>
    <n v="27.15"/>
    <n v="5"/>
    <x v="0"/>
    <n v="13.3035"/>
  </r>
  <r>
    <n v="409"/>
    <s v="CA-2017-117457"/>
    <x v="166"/>
    <x v="169"/>
    <x v="1"/>
    <x v="168"/>
    <s v="Keith Herrera"/>
    <x v="0"/>
    <s v="United States"/>
    <s v="San Francisco"/>
    <s v="California"/>
    <n v="94110"/>
    <x v="1"/>
    <s v="FUR-TA-10002041"/>
    <x v="0"/>
    <s v="Tables"/>
    <s v="Bevis Round Conference Table Top, X-Base"/>
    <n v="1004.024"/>
    <n v="7"/>
    <x v="2"/>
    <n v="-112.95269999999999"/>
  </r>
  <r>
    <n v="410"/>
    <s v="CA-2017-117457"/>
    <x v="166"/>
    <x v="169"/>
    <x v="1"/>
    <x v="168"/>
    <s v="Keith Herrera"/>
    <x v="0"/>
    <s v="United States"/>
    <s v="San Francisco"/>
    <s v="California"/>
    <n v="94110"/>
    <x v="1"/>
    <s v="OFF-PA-10002893"/>
    <x v="1"/>
    <s v="Paper"/>
    <s v="Wirebound Service Call Books, 5 1/2&quot; x 4&quot;"/>
    <n v="9.68"/>
    <n v="1"/>
    <x v="0"/>
    <n v="4.6463999999999999"/>
  </r>
  <r>
    <n v="411"/>
    <s v="CA-2017-117457"/>
    <x v="166"/>
    <x v="169"/>
    <x v="1"/>
    <x v="168"/>
    <s v="Keith Herrera"/>
    <x v="0"/>
    <s v="United States"/>
    <s v="San Francisco"/>
    <s v="California"/>
    <n v="94110"/>
    <x v="1"/>
    <s v="OFF-LA-10003766"/>
    <x v="1"/>
    <s v="Labels"/>
    <s v="Self-Adhesive Removable Labels"/>
    <n v="28.35"/>
    <n v="9"/>
    <x v="0"/>
    <n v="13.608000000000001"/>
  </r>
  <r>
    <n v="412"/>
    <s v="CA-2017-117457"/>
    <x v="166"/>
    <x v="169"/>
    <x v="1"/>
    <x v="168"/>
    <s v="Keith Herrera"/>
    <x v="0"/>
    <s v="United States"/>
    <s v="San Francisco"/>
    <s v="California"/>
    <n v="94110"/>
    <x v="1"/>
    <s v="OFF-PA-10001970"/>
    <x v="1"/>
    <s v="Paper"/>
    <s v="Xerox 1908"/>
    <n v="55.98"/>
    <n v="1"/>
    <x v="0"/>
    <n v="27.430199999999999"/>
  </r>
  <r>
    <n v="413"/>
    <s v="CA-2017-117457"/>
    <x v="166"/>
    <x v="169"/>
    <x v="1"/>
    <x v="168"/>
    <s v="Keith Herrera"/>
    <x v="0"/>
    <s v="United States"/>
    <s v="San Francisco"/>
    <s v="California"/>
    <n v="94110"/>
    <x v="1"/>
    <s v="FUR-BO-10001972"/>
    <x v="0"/>
    <s v="Bookcases"/>
    <s v="O'Sullivan 4-Shelf Bookcase in Odessa Pine"/>
    <n v="1336.829"/>
    <n v="13"/>
    <x v="11"/>
    <n v="31.454799999999899"/>
  </r>
  <r>
    <n v="414"/>
    <s v="CA-2017-117457"/>
    <x v="166"/>
    <x v="169"/>
    <x v="1"/>
    <x v="168"/>
    <s v="Keith Herrera"/>
    <x v="0"/>
    <s v="United States"/>
    <s v="San Francisco"/>
    <s v="California"/>
    <n v="94110"/>
    <x v="1"/>
    <s v="FUR-CH-10003956"/>
    <x v="0"/>
    <s v="Chairs"/>
    <s v="Novimex High-Tech Fabric Mesh Task Chair"/>
    <n v="113.568"/>
    <n v="2"/>
    <x v="2"/>
    <n v="-18.454799999999999"/>
  </r>
  <r>
    <n v="415"/>
    <s v="CA-2017-142636"/>
    <x v="132"/>
    <x v="170"/>
    <x v="1"/>
    <x v="169"/>
    <s v="Kimberly Carter"/>
    <x v="1"/>
    <s v="United States"/>
    <s v="Seattle"/>
    <s v="Washington"/>
    <n v="98105"/>
    <x v="1"/>
    <s v="OFF-PA-10000157"/>
    <x v="1"/>
    <s v="Paper"/>
    <s v="Xerox 191"/>
    <n v="139.86000000000001"/>
    <n v="7"/>
    <x v="0"/>
    <n v="65.734200000000001"/>
  </r>
  <r>
    <n v="416"/>
    <s v="CA-2017-142636"/>
    <x v="132"/>
    <x v="170"/>
    <x v="1"/>
    <x v="169"/>
    <s v="Kimberly Carter"/>
    <x v="1"/>
    <s v="United States"/>
    <s v="Seattle"/>
    <s v="Washington"/>
    <n v="98105"/>
    <x v="1"/>
    <s v="FUR-CH-10001891"/>
    <x v="0"/>
    <s v="Chairs"/>
    <s v="Global Deluxe Office Fabric Chairs"/>
    <n v="307.13600000000002"/>
    <n v="4"/>
    <x v="2"/>
    <n v="26.874400000000001"/>
  </r>
  <r>
    <n v="417"/>
    <s v="CA-2017-122105"/>
    <x v="92"/>
    <x v="171"/>
    <x v="1"/>
    <x v="170"/>
    <s v="Caroline Jumper"/>
    <x v="0"/>
    <s v="United States"/>
    <s v="Huntington Beach"/>
    <s v="California"/>
    <n v="92646"/>
    <x v="1"/>
    <s v="OFF-AR-10004344"/>
    <x v="1"/>
    <s v="Art"/>
    <s v="Bulldog Vacuum Base Pencil Sharpener"/>
    <n v="95.92"/>
    <n v="8"/>
    <x v="0"/>
    <n v="25.898399999999999"/>
  </r>
  <r>
    <n v="418"/>
    <s v="CA-2016-148796"/>
    <x v="167"/>
    <x v="172"/>
    <x v="1"/>
    <x v="171"/>
    <s v="Philip Brown"/>
    <x v="0"/>
    <s v="United States"/>
    <s v="Los Angeles"/>
    <s v="California"/>
    <n v="90004"/>
    <x v="1"/>
    <s v="FUR-CH-10004886"/>
    <x v="0"/>
    <s v="Chairs"/>
    <s v="Bevis Steel Folding Chairs"/>
    <n v="383.8"/>
    <n v="5"/>
    <x v="2"/>
    <n v="38.380000000000003"/>
  </r>
  <r>
    <n v="419"/>
    <s v="CA-2017-154816"/>
    <x v="44"/>
    <x v="173"/>
    <x v="1"/>
    <x v="146"/>
    <s v="Victoria Brennan"/>
    <x v="1"/>
    <s v="United States"/>
    <s v="Richmond"/>
    <s v="Kentucky"/>
    <n v="40475"/>
    <x v="0"/>
    <s v="OFF-PA-10003845"/>
    <x v="1"/>
    <s v="Paper"/>
    <s v="Xerox 1987"/>
    <n v="5.78"/>
    <n v="1"/>
    <x v="0"/>
    <n v="2.8321999999999998"/>
  </r>
  <r>
    <n v="420"/>
    <s v="CA-2017-110478"/>
    <x v="168"/>
    <x v="174"/>
    <x v="1"/>
    <x v="133"/>
    <s v="Sung Pak"/>
    <x v="1"/>
    <s v="United States"/>
    <s v="Los Angeles"/>
    <s v="California"/>
    <n v="90045"/>
    <x v="1"/>
    <s v="OFF-AR-10001573"/>
    <x v="1"/>
    <s v="Art"/>
    <s v="American Pencil"/>
    <n v="9.32"/>
    <n v="4"/>
    <x v="0"/>
    <n v="2.7027999999999999"/>
  </r>
  <r>
    <n v="421"/>
    <s v="CA-2017-110478"/>
    <x v="168"/>
    <x v="174"/>
    <x v="1"/>
    <x v="133"/>
    <s v="Sung Pak"/>
    <x v="1"/>
    <s v="United States"/>
    <s v="Los Angeles"/>
    <s v="California"/>
    <n v="90045"/>
    <x v="1"/>
    <s v="OFF-EN-10000483"/>
    <x v="1"/>
    <s v="Envelopes"/>
    <s v="White Envelopes, White Envelopes with Clear Poly Window"/>
    <n v="15.25"/>
    <n v="1"/>
    <x v="0"/>
    <n v="7.0149999999999997"/>
  </r>
  <r>
    <n v="422"/>
    <s v="CA-2014-142048"/>
    <x v="169"/>
    <x v="175"/>
    <x v="2"/>
    <x v="32"/>
    <s v="Joel Eaton"/>
    <x v="0"/>
    <s v="United States"/>
    <s v="Louisville"/>
    <s v="Colorado"/>
    <n v="80027"/>
    <x v="1"/>
    <s v="TEC-AC-10004114"/>
    <x v="2"/>
    <s v="Accessories"/>
    <s v="KeyTronic 6101 Series - Keyboard - Black"/>
    <n v="196.75200000000001"/>
    <n v="6"/>
    <x v="2"/>
    <n v="56.566200000000002"/>
  </r>
  <r>
    <n v="423"/>
    <s v="CA-2017-125388"/>
    <x v="15"/>
    <x v="15"/>
    <x v="1"/>
    <x v="172"/>
    <s v="Michael Paige"/>
    <x v="1"/>
    <s v="United States"/>
    <s v="Lawrence"/>
    <s v="Massachusetts"/>
    <n v="1841"/>
    <x v="3"/>
    <s v="FUR-FU-10004712"/>
    <x v="0"/>
    <s v="Furnishings"/>
    <s v="Westinghouse Mesh Shade Clip-On Gooseneck Lamp, Black"/>
    <n v="56.56"/>
    <n v="4"/>
    <x v="0"/>
    <n v="14.7056"/>
  </r>
  <r>
    <n v="424"/>
    <s v="CA-2017-125388"/>
    <x v="15"/>
    <x v="15"/>
    <x v="1"/>
    <x v="172"/>
    <s v="Michael Paige"/>
    <x v="1"/>
    <s v="United States"/>
    <s v="Lawrence"/>
    <s v="Massachusetts"/>
    <n v="1841"/>
    <x v="3"/>
    <s v="OFF-ST-10000918"/>
    <x v="1"/>
    <s v="Storage"/>
    <s v="Crate-A-Files"/>
    <n v="32.700000000000003"/>
    <n v="3"/>
    <x v="0"/>
    <n v="8.5020000000000007"/>
  </r>
  <r>
    <n v="425"/>
    <s v="CA-2017-155705"/>
    <x v="170"/>
    <x v="176"/>
    <x v="0"/>
    <x v="173"/>
    <s v="Natalie Fritzler"/>
    <x v="0"/>
    <s v="United States"/>
    <s v="Jackson"/>
    <s v="Mississippi"/>
    <n v="39212"/>
    <x v="0"/>
    <s v="FUR-CH-10000015"/>
    <x v="0"/>
    <s v="Chairs"/>
    <s v="Hon Multipurpose Stacking Arm Chairs"/>
    <n v="866.4"/>
    <n v="4"/>
    <x v="0"/>
    <n v="225.26400000000001"/>
  </r>
  <r>
    <n v="426"/>
    <s v="CA-2017-149160"/>
    <x v="51"/>
    <x v="177"/>
    <x v="0"/>
    <x v="25"/>
    <s v="Janet Molinari"/>
    <x v="1"/>
    <s v="United States"/>
    <s v="Canton"/>
    <s v="Michigan"/>
    <n v="48187"/>
    <x v="2"/>
    <s v="FUR-FU-10003347"/>
    <x v="0"/>
    <s v="Furnishings"/>
    <s v="Coloredge Poster Frame"/>
    <n v="28.4"/>
    <n v="2"/>
    <x v="0"/>
    <n v="11.076000000000001"/>
  </r>
  <r>
    <n v="427"/>
    <s v="CA-2017-149160"/>
    <x v="51"/>
    <x v="177"/>
    <x v="0"/>
    <x v="25"/>
    <s v="Janet Molinari"/>
    <x v="1"/>
    <s v="United States"/>
    <s v="Canton"/>
    <s v="Michigan"/>
    <n v="48187"/>
    <x v="2"/>
    <s v="OFF-BI-10001543"/>
    <x v="1"/>
    <s v="Binders"/>
    <s v="GBC VeloBinder Manual Binding System"/>
    <n v="287.92"/>
    <n v="8"/>
    <x v="0"/>
    <n v="138.20160000000001"/>
  </r>
  <r>
    <n v="428"/>
    <s v="CA-2014-101476"/>
    <x v="171"/>
    <x v="178"/>
    <x v="2"/>
    <x v="174"/>
    <s v="Shirley Daniels"/>
    <x v="2"/>
    <s v="United States"/>
    <s v="New Rochelle"/>
    <s v="New York"/>
    <n v="10801"/>
    <x v="3"/>
    <s v="TEC-MA-10000029"/>
    <x v="2"/>
    <s v="Machines"/>
    <s v="Epson WorkForce WF-2530 All-in-One Printer, Copier Scanner"/>
    <n v="69.989999999999995"/>
    <n v="1"/>
    <x v="0"/>
    <n v="30.095700000000001"/>
  </r>
  <r>
    <n v="429"/>
    <s v="CA-2017-152275"/>
    <x v="172"/>
    <x v="179"/>
    <x v="1"/>
    <x v="175"/>
    <s v="Ken Heidel"/>
    <x v="1"/>
    <s v="United States"/>
    <s v="San Antonio"/>
    <s v="Texas"/>
    <n v="78207"/>
    <x v="2"/>
    <s v="OFF-AR-10000369"/>
    <x v="1"/>
    <s v="Art"/>
    <s v="Design Ebony Sketching Pencil"/>
    <n v="6.6719999999999997"/>
    <n v="6"/>
    <x v="2"/>
    <n v="0.50039999999999996"/>
  </r>
  <r>
    <n v="430"/>
    <s v="US-2016-123750"/>
    <x v="173"/>
    <x v="180"/>
    <x v="1"/>
    <x v="176"/>
    <s v="Ross Baird"/>
    <x v="2"/>
    <s v="United States"/>
    <s v="Gastonia"/>
    <s v="North Carolina"/>
    <n v="28052"/>
    <x v="0"/>
    <s v="OFF-BI-10004584"/>
    <x v="1"/>
    <s v="Binders"/>
    <s v="GBC ProClick 150 Presentation Binding System"/>
    <n v="189.58799999999999"/>
    <n v="2"/>
    <x v="6"/>
    <n v="-145.35079999999999"/>
  </r>
  <r>
    <n v="431"/>
    <s v="US-2016-123750"/>
    <x v="173"/>
    <x v="180"/>
    <x v="1"/>
    <x v="176"/>
    <s v="Ross Baird"/>
    <x v="2"/>
    <s v="United States"/>
    <s v="Gastonia"/>
    <s v="North Carolina"/>
    <n v="28052"/>
    <x v="0"/>
    <s v="TEC-AC-10004659"/>
    <x v="2"/>
    <s v="Accessories"/>
    <s v="Imation Secure+ Hardware Encrypted USB 2.0 Flash Drive; 16GB"/>
    <n v="408.74400000000003"/>
    <n v="7"/>
    <x v="2"/>
    <n v="76.639499999999998"/>
  </r>
  <r>
    <n v="432"/>
    <s v="US-2016-123750"/>
    <x v="173"/>
    <x v="180"/>
    <x v="1"/>
    <x v="176"/>
    <s v="Ross Baird"/>
    <x v="2"/>
    <s v="United States"/>
    <s v="Gastonia"/>
    <s v="North Carolina"/>
    <n v="28052"/>
    <x v="0"/>
    <s v="TEC-AC-10004659"/>
    <x v="2"/>
    <s v="Accessories"/>
    <s v="Imation Secure+ Hardware Encrypted USB 2.0 Flash Drive; 16GB"/>
    <n v="291.95999999999998"/>
    <n v="5"/>
    <x v="2"/>
    <n v="54.7425"/>
  </r>
  <r>
    <n v="433"/>
    <s v="US-2016-123750"/>
    <x v="173"/>
    <x v="180"/>
    <x v="1"/>
    <x v="176"/>
    <s v="Ross Baird"/>
    <x v="2"/>
    <s v="United States"/>
    <s v="Gastonia"/>
    <s v="North Carolina"/>
    <n v="28052"/>
    <x v="0"/>
    <s v="OFF-ST-10000617"/>
    <x v="1"/>
    <s v="Storage"/>
    <s v="Woodgrain Magazine Files by Perma"/>
    <n v="4.7679999999999998"/>
    <n v="2"/>
    <x v="2"/>
    <n v="-0.77480000000000104"/>
  </r>
  <r>
    <n v="434"/>
    <s v="CA-2016-127369"/>
    <x v="112"/>
    <x v="181"/>
    <x v="2"/>
    <x v="72"/>
    <s v="Dave Brooks"/>
    <x v="0"/>
    <s v="United States"/>
    <s v="Lowell"/>
    <s v="Massachusetts"/>
    <n v="1852"/>
    <x v="3"/>
    <s v="OFF-ST-10003306"/>
    <x v="1"/>
    <s v="Storage"/>
    <s v="Letter Size Cart"/>
    <n v="714.3"/>
    <n v="5"/>
    <x v="0"/>
    <n v="207.14699999999999"/>
  </r>
  <r>
    <n v="435"/>
    <s v="US-2014-150574"/>
    <x v="174"/>
    <x v="182"/>
    <x v="1"/>
    <x v="177"/>
    <s v="Mike Kennedy"/>
    <x v="0"/>
    <s v="United States"/>
    <s v="Jacksonville"/>
    <s v="Florida"/>
    <n v="32216"/>
    <x v="0"/>
    <s v="OFF-BI-10000773"/>
    <x v="1"/>
    <s v="Binders"/>
    <s v="Insertable Tab Post Binder Dividers"/>
    <n v="4.8120000000000003"/>
    <n v="2"/>
    <x v="6"/>
    <n v="-3.6892"/>
  </r>
  <r>
    <n v="436"/>
    <s v="US-2014-150574"/>
    <x v="174"/>
    <x v="182"/>
    <x v="1"/>
    <x v="177"/>
    <s v="Mike Kennedy"/>
    <x v="0"/>
    <s v="United States"/>
    <s v="Jacksonville"/>
    <s v="Florida"/>
    <n v="32216"/>
    <x v="0"/>
    <s v="TEC-AC-10002600"/>
    <x v="2"/>
    <s v="Accessories"/>
    <s v="Belkin QODE FastFit Bluetooth Keyboard"/>
    <n v="247.8"/>
    <n v="5"/>
    <x v="2"/>
    <n v="-18.585000000000001"/>
  </r>
  <r>
    <n v="437"/>
    <s v="CA-2016-147375"/>
    <x v="1"/>
    <x v="183"/>
    <x v="0"/>
    <x v="178"/>
    <s v="Philisse Overcash"/>
    <x v="2"/>
    <s v="United States"/>
    <s v="Chicago"/>
    <s v="Illinois"/>
    <n v="60623"/>
    <x v="2"/>
    <s v="TEC-MA-10002937"/>
    <x v="2"/>
    <s v="Machines"/>
    <s v="Canon Color ImageCLASS MF8580Cdw Wireless Laser All-In-One Printer, Copier, Scanner"/>
    <n v="1007.979"/>
    <n v="3"/>
    <x v="4"/>
    <n v="43.199100000000001"/>
  </r>
  <r>
    <n v="438"/>
    <s v="CA-2016-147375"/>
    <x v="1"/>
    <x v="183"/>
    <x v="0"/>
    <x v="178"/>
    <s v="Philisse Overcash"/>
    <x v="2"/>
    <s v="United States"/>
    <s v="Chicago"/>
    <s v="Illinois"/>
    <n v="60623"/>
    <x v="2"/>
    <s v="OFF-PA-10001970"/>
    <x v="1"/>
    <s v="Paper"/>
    <s v="Xerox 1908"/>
    <n v="313.488"/>
    <n v="7"/>
    <x v="2"/>
    <n v="113.63939999999999"/>
  </r>
  <r>
    <n v="439"/>
    <s v="CA-2017-130043"/>
    <x v="175"/>
    <x v="184"/>
    <x v="1"/>
    <x v="179"/>
    <s v="Brenda Bowman"/>
    <x v="1"/>
    <s v="United States"/>
    <s v="Houston"/>
    <s v="Texas"/>
    <n v="77070"/>
    <x v="2"/>
    <s v="OFF-PA-10002230"/>
    <x v="1"/>
    <s v="Paper"/>
    <s v="Xerox 1897"/>
    <n v="31.872"/>
    <n v="8"/>
    <x v="2"/>
    <n v="11.553599999999999"/>
  </r>
  <r>
    <n v="440"/>
    <s v="CA-2017-157252"/>
    <x v="176"/>
    <x v="185"/>
    <x v="0"/>
    <x v="51"/>
    <s v="Cynthia Voltz"/>
    <x v="1"/>
    <s v="United States"/>
    <s v="New York City"/>
    <s v="New York"/>
    <n v="10024"/>
    <x v="3"/>
    <s v="FUR-CH-10003396"/>
    <x v="0"/>
    <s v="Chairs"/>
    <s v="Global Deluxe Steno Chair"/>
    <n v="207.846"/>
    <n v="3"/>
    <x v="9"/>
    <n v="2.3093999999999899"/>
  </r>
  <r>
    <n v="441"/>
    <s v="CA-2016-115756"/>
    <x v="64"/>
    <x v="62"/>
    <x v="0"/>
    <x v="7"/>
    <s v="Pete Kriz"/>
    <x v="0"/>
    <s v="United States"/>
    <s v="Detroit"/>
    <s v="Michigan"/>
    <n v="48227"/>
    <x v="2"/>
    <s v="FUR-FU-10000246"/>
    <x v="0"/>
    <s v="Furnishings"/>
    <s v="Aluminum Document Frame"/>
    <n v="12.22"/>
    <n v="1"/>
    <x v="0"/>
    <n v="3.6659999999999999"/>
  </r>
  <r>
    <n v="442"/>
    <s v="CA-2016-115756"/>
    <x v="64"/>
    <x v="62"/>
    <x v="0"/>
    <x v="7"/>
    <s v="Pete Kriz"/>
    <x v="0"/>
    <s v="United States"/>
    <s v="Detroit"/>
    <s v="Michigan"/>
    <n v="48227"/>
    <x v="2"/>
    <s v="OFF-ST-10000060"/>
    <x v="1"/>
    <s v="Storage"/>
    <s v="Fellowes Bankers Box Staxonsteel Drawer File/Stacking System"/>
    <n v="194.94"/>
    <n v="3"/>
    <x v="0"/>
    <n v="23.392800000000001"/>
  </r>
  <r>
    <n v="443"/>
    <s v="CA-2016-115756"/>
    <x v="64"/>
    <x v="62"/>
    <x v="0"/>
    <x v="7"/>
    <s v="Pete Kriz"/>
    <x v="0"/>
    <s v="United States"/>
    <s v="Detroit"/>
    <s v="Michigan"/>
    <n v="48227"/>
    <x v="2"/>
    <s v="OFF-ST-10003058"/>
    <x v="1"/>
    <s v="Storage"/>
    <s v="Eldon Mobile Mega Data Cart  Mega Stackable  Add-On Trays"/>
    <n v="70.95"/>
    <n v="3"/>
    <x v="0"/>
    <n v="20.575500000000002"/>
  </r>
  <r>
    <n v="444"/>
    <s v="CA-2016-115756"/>
    <x v="64"/>
    <x v="62"/>
    <x v="0"/>
    <x v="7"/>
    <s v="Pete Kriz"/>
    <x v="0"/>
    <s v="United States"/>
    <s v="Detroit"/>
    <s v="Michigan"/>
    <n v="48227"/>
    <x v="2"/>
    <s v="OFF-PA-10002222"/>
    <x v="1"/>
    <s v="Paper"/>
    <s v="Xerox Color Copier Paper, 11&quot; x 17&quot;, Ream"/>
    <n v="91.36"/>
    <n v="4"/>
    <x v="0"/>
    <n v="42.025599999999997"/>
  </r>
  <r>
    <n v="445"/>
    <s v="CA-2016-115756"/>
    <x v="64"/>
    <x v="62"/>
    <x v="0"/>
    <x v="7"/>
    <s v="Pete Kriz"/>
    <x v="0"/>
    <s v="United States"/>
    <s v="Detroit"/>
    <s v="Michigan"/>
    <n v="48227"/>
    <x v="2"/>
    <s v="FUR-CH-10002372"/>
    <x v="0"/>
    <s v="Chairs"/>
    <s v="Office Star - Ergonomically Designed Knee Chair"/>
    <n v="242.94"/>
    <n v="3"/>
    <x v="0"/>
    <n v="29.152799999999999"/>
  </r>
  <r>
    <n v="446"/>
    <s v="CA-2016-115756"/>
    <x v="64"/>
    <x v="62"/>
    <x v="0"/>
    <x v="7"/>
    <s v="Pete Kriz"/>
    <x v="0"/>
    <s v="United States"/>
    <s v="Detroit"/>
    <s v="Michigan"/>
    <n v="48227"/>
    <x v="2"/>
    <s v="OFF-LA-10001317"/>
    <x v="1"/>
    <s v="Labels"/>
    <s v="Avery 520"/>
    <n v="22.05"/>
    <n v="7"/>
    <x v="0"/>
    <n v="10.584"/>
  </r>
  <r>
    <n v="447"/>
    <s v="CA-2017-154214"/>
    <x v="177"/>
    <x v="186"/>
    <x v="0"/>
    <x v="180"/>
    <s v="Troy Blackwell"/>
    <x v="0"/>
    <s v="United States"/>
    <s v="Columbus"/>
    <s v="Indiana"/>
    <n v="47201"/>
    <x v="2"/>
    <s v="FUR-FU-10000206"/>
    <x v="0"/>
    <s v="Furnishings"/>
    <s v="GE General Purpose, Extra Long Life, Showcase &amp; Floodlight Incandescent Bulbs"/>
    <n v="2.91"/>
    <n v="1"/>
    <x v="0"/>
    <n v="1.3676999999999999"/>
  </r>
  <r>
    <n v="448"/>
    <s v="CA-2016-166674"/>
    <x v="178"/>
    <x v="187"/>
    <x v="0"/>
    <x v="181"/>
    <s v="Raymond Buch"/>
    <x v="0"/>
    <s v="United States"/>
    <s v="Auburn"/>
    <s v="New York"/>
    <n v="13021"/>
    <x v="3"/>
    <s v="OFF-AR-10000588"/>
    <x v="1"/>
    <s v="Art"/>
    <s v="Newell 345"/>
    <n v="59.52"/>
    <n v="3"/>
    <x v="0"/>
    <n v="15.475199999999999"/>
  </r>
  <r>
    <n v="449"/>
    <s v="CA-2016-166674"/>
    <x v="178"/>
    <x v="187"/>
    <x v="0"/>
    <x v="181"/>
    <s v="Raymond Buch"/>
    <x v="0"/>
    <s v="United States"/>
    <s v="Auburn"/>
    <s v="New York"/>
    <n v="13021"/>
    <x v="3"/>
    <s v="OFF-ST-10001469"/>
    <x v="1"/>
    <s v="Storage"/>
    <s v="Fellowes Bankers Box Recycled Super Stor/Drawer"/>
    <n v="161.94"/>
    <n v="3"/>
    <x v="0"/>
    <n v="9.7163999999999895"/>
  </r>
  <r>
    <n v="450"/>
    <s v="CA-2016-166674"/>
    <x v="178"/>
    <x v="187"/>
    <x v="0"/>
    <x v="181"/>
    <s v="Raymond Buch"/>
    <x v="0"/>
    <s v="United States"/>
    <s v="Auburn"/>
    <s v="New York"/>
    <n v="13021"/>
    <x v="3"/>
    <s v="OFF-AR-10001953"/>
    <x v="1"/>
    <s v="Art"/>
    <s v="Boston 1645 Deluxe Heavier-Duty Electric Pencil Sharpener"/>
    <n v="263.88"/>
    <n v="6"/>
    <x v="0"/>
    <n v="71.247600000000006"/>
  </r>
  <r>
    <n v="451"/>
    <s v="CA-2016-166674"/>
    <x v="178"/>
    <x v="187"/>
    <x v="0"/>
    <x v="181"/>
    <s v="Raymond Buch"/>
    <x v="0"/>
    <s v="United States"/>
    <s v="Auburn"/>
    <s v="New York"/>
    <n v="13021"/>
    <x v="3"/>
    <s v="OFF-AR-10003156"/>
    <x v="1"/>
    <s v="Art"/>
    <s v="50 Colored Long Pencils"/>
    <n v="30.48"/>
    <n v="3"/>
    <x v="0"/>
    <n v="7.9248000000000003"/>
  </r>
  <r>
    <n v="452"/>
    <s v="CA-2016-166674"/>
    <x v="178"/>
    <x v="187"/>
    <x v="0"/>
    <x v="181"/>
    <s v="Raymond Buch"/>
    <x v="0"/>
    <s v="United States"/>
    <s v="Auburn"/>
    <s v="New York"/>
    <n v="13021"/>
    <x v="3"/>
    <s v="OFF-AR-10004974"/>
    <x v="1"/>
    <s v="Art"/>
    <s v="Newell 342"/>
    <n v="9.84"/>
    <n v="3"/>
    <x v="0"/>
    <n v="2.8536000000000001"/>
  </r>
  <r>
    <n v="453"/>
    <s v="CA-2016-166674"/>
    <x v="178"/>
    <x v="187"/>
    <x v="0"/>
    <x v="181"/>
    <s v="Raymond Buch"/>
    <x v="0"/>
    <s v="United States"/>
    <s v="Auburn"/>
    <s v="New York"/>
    <n v="13021"/>
    <x v="3"/>
    <s v="TEC-PH-10002365"/>
    <x v="2"/>
    <s v="Phones"/>
    <s v="Belkin Grip Candy Sheer Case / Cover for iPhone 5 and 5S"/>
    <n v="35.119999999999997"/>
    <n v="4"/>
    <x v="0"/>
    <n v="9.1311999999999998"/>
  </r>
  <r>
    <n v="454"/>
    <s v="CA-2017-147277"/>
    <x v="179"/>
    <x v="188"/>
    <x v="1"/>
    <x v="182"/>
    <s v="Ed Braxton"/>
    <x v="1"/>
    <s v="United States"/>
    <s v="Akron"/>
    <s v="Ohio"/>
    <n v="44312"/>
    <x v="3"/>
    <s v="FUR-TA-10001539"/>
    <x v="0"/>
    <s v="Tables"/>
    <s v="Chromcraft Rectangular Conference Tables"/>
    <n v="284.36399999999998"/>
    <n v="2"/>
    <x v="10"/>
    <n v="-75.830400000000097"/>
  </r>
  <r>
    <n v="455"/>
    <s v="CA-2017-147277"/>
    <x v="179"/>
    <x v="188"/>
    <x v="1"/>
    <x v="182"/>
    <s v="Ed Braxton"/>
    <x v="1"/>
    <s v="United States"/>
    <s v="Akron"/>
    <s v="Ohio"/>
    <n v="44312"/>
    <x v="3"/>
    <s v="OFF-ST-10000142"/>
    <x v="1"/>
    <s v="Storage"/>
    <s v="Deluxe Rollaway Locking File with Drawer"/>
    <n v="665.40800000000002"/>
    <n v="2"/>
    <x v="2"/>
    <n v="66.540800000000004"/>
  </r>
  <r>
    <n v="456"/>
    <s v="CA-2016-100153"/>
    <x v="180"/>
    <x v="24"/>
    <x v="1"/>
    <x v="175"/>
    <s v="Ken Heidel"/>
    <x v="1"/>
    <s v="United States"/>
    <s v="Norman"/>
    <s v="Oklahoma"/>
    <n v="73071"/>
    <x v="2"/>
    <s v="TEC-AC-10001772"/>
    <x v="2"/>
    <s v="Accessories"/>
    <s v="Memorex Mini Travel Drive 16 GB USB 2.0 Flash Drive"/>
    <n v="63.88"/>
    <n v="4"/>
    <x v="0"/>
    <n v="24.9132"/>
  </r>
  <r>
    <n v="457"/>
    <s v="US-2014-110674"/>
    <x v="181"/>
    <x v="189"/>
    <x v="1"/>
    <x v="183"/>
    <s v="Sanjit Chand"/>
    <x v="0"/>
    <s v="United States"/>
    <s v="Concord"/>
    <s v="California"/>
    <n v="94521"/>
    <x v="1"/>
    <s v="FUR-CH-10000225"/>
    <x v="0"/>
    <s v="Chairs"/>
    <s v="Global Geo Office Task Chair, Gray"/>
    <n v="129.56800000000001"/>
    <n v="2"/>
    <x v="2"/>
    <n v="-24.294"/>
  </r>
  <r>
    <n v="458"/>
    <s v="US-2016-157945"/>
    <x v="182"/>
    <x v="152"/>
    <x v="1"/>
    <x v="173"/>
    <s v="Natalie Fritzler"/>
    <x v="0"/>
    <s v="United States"/>
    <s v="Decatur"/>
    <s v="Illinois"/>
    <n v="62521"/>
    <x v="2"/>
    <s v="FUR-CH-10002331"/>
    <x v="0"/>
    <s v="Chairs"/>
    <s v="Hon 4700 Series Mobuis Mid-Back Task Chairs with Adjustable Arms"/>
    <n v="747.55799999999999"/>
    <n v="3"/>
    <x v="4"/>
    <n v="-96.114600000000095"/>
  </r>
  <r>
    <n v="459"/>
    <s v="US-2016-157945"/>
    <x v="182"/>
    <x v="152"/>
    <x v="1"/>
    <x v="173"/>
    <s v="Natalie Fritzler"/>
    <x v="0"/>
    <s v="United States"/>
    <s v="Decatur"/>
    <s v="Illinois"/>
    <n v="62521"/>
    <x v="2"/>
    <s v="OFF-EN-10001415"/>
    <x v="1"/>
    <s v="Envelopes"/>
    <s v="Staple envelope"/>
    <n v="8.9280000000000008"/>
    <n v="2"/>
    <x v="2"/>
    <n v="3.3479999999999999"/>
  </r>
  <r>
    <n v="460"/>
    <s v="CA-2015-109638"/>
    <x v="83"/>
    <x v="190"/>
    <x v="1"/>
    <x v="98"/>
    <s v="Joseph Holt"/>
    <x v="0"/>
    <s v="United States"/>
    <s v="Seattle"/>
    <s v="Washington"/>
    <n v="98115"/>
    <x v="1"/>
    <s v="OFF-AP-10002472"/>
    <x v="1"/>
    <s v="Appliances"/>
    <s v="3M Office Air Cleaner"/>
    <n v="103.92"/>
    <n v="4"/>
    <x v="0"/>
    <n v="36.372"/>
  </r>
  <r>
    <n v="461"/>
    <s v="CA-2015-109638"/>
    <x v="83"/>
    <x v="190"/>
    <x v="1"/>
    <x v="98"/>
    <s v="Joseph Holt"/>
    <x v="0"/>
    <s v="United States"/>
    <s v="Seattle"/>
    <s v="Washington"/>
    <n v="98115"/>
    <x v="1"/>
    <s v="TEC-AC-10004571"/>
    <x v="2"/>
    <s v="Accessories"/>
    <s v="Logitech G700s Rechargeable Gaming Mouse"/>
    <n v="899.91"/>
    <n v="9"/>
    <x v="0"/>
    <n v="377.9622"/>
  </r>
  <r>
    <n v="462"/>
    <s v="CA-2015-109638"/>
    <x v="83"/>
    <x v="190"/>
    <x v="1"/>
    <x v="98"/>
    <s v="Joseph Holt"/>
    <x v="0"/>
    <s v="United States"/>
    <s v="Seattle"/>
    <s v="Washington"/>
    <n v="98115"/>
    <x v="1"/>
    <s v="OFF-BI-10001098"/>
    <x v="1"/>
    <s v="Binders"/>
    <s v="Acco D-Ring Binder w/DublLock"/>
    <n v="51.311999999999998"/>
    <n v="3"/>
    <x v="2"/>
    <n v="18.6006"/>
  </r>
  <r>
    <n v="463"/>
    <s v="CA-2016-109869"/>
    <x v="183"/>
    <x v="135"/>
    <x v="1"/>
    <x v="184"/>
    <s v="Tanja Norvell"/>
    <x v="2"/>
    <s v="United States"/>
    <s v="Phoenix"/>
    <s v="Arizona"/>
    <n v="85023"/>
    <x v="1"/>
    <s v="FUR-FU-10000023"/>
    <x v="0"/>
    <s v="Furnishings"/>
    <s v="Eldon Wave Desk Accessories"/>
    <n v="23.56"/>
    <n v="5"/>
    <x v="2"/>
    <n v="7.0679999999999996"/>
  </r>
  <r>
    <n v="464"/>
    <s v="CA-2016-109869"/>
    <x v="183"/>
    <x v="135"/>
    <x v="1"/>
    <x v="184"/>
    <s v="Tanja Norvell"/>
    <x v="2"/>
    <s v="United States"/>
    <s v="Phoenix"/>
    <s v="Arizona"/>
    <n v="85023"/>
    <x v="1"/>
    <s v="FUR-TA-10001889"/>
    <x v="0"/>
    <s v="Tables"/>
    <s v="Bush Advantage Collection Racetrack Conference Table"/>
    <n v="1272.6300000000001"/>
    <n v="6"/>
    <x v="5"/>
    <n v="-814.48320000000001"/>
  </r>
  <r>
    <n v="465"/>
    <s v="CA-2016-109869"/>
    <x v="183"/>
    <x v="135"/>
    <x v="1"/>
    <x v="184"/>
    <s v="Tanja Norvell"/>
    <x v="2"/>
    <s v="United States"/>
    <s v="Phoenix"/>
    <s v="Arizona"/>
    <n v="85023"/>
    <x v="1"/>
    <s v="OFF-BI-10000315"/>
    <x v="1"/>
    <s v="Binders"/>
    <s v="Poly Designer Cover &amp; Back"/>
    <n v="28.484999999999999"/>
    <n v="5"/>
    <x v="6"/>
    <n v="-20.888999999999999"/>
  </r>
  <r>
    <n v="466"/>
    <s v="CA-2016-109869"/>
    <x v="183"/>
    <x v="135"/>
    <x v="1"/>
    <x v="184"/>
    <s v="Tanja Norvell"/>
    <x v="2"/>
    <s v="United States"/>
    <s v="Phoenix"/>
    <s v="Arizona"/>
    <n v="85023"/>
    <x v="1"/>
    <s v="OFF-SU-10003505"/>
    <x v="1"/>
    <s v="Supplies"/>
    <s v="Premier Electric Letter Opener"/>
    <n v="185.376"/>
    <n v="2"/>
    <x v="2"/>
    <n v="-34.758000000000003"/>
  </r>
  <r>
    <n v="467"/>
    <s v="CA-2016-109869"/>
    <x v="183"/>
    <x v="135"/>
    <x v="1"/>
    <x v="184"/>
    <s v="Tanja Norvell"/>
    <x v="2"/>
    <s v="United States"/>
    <s v="Phoenix"/>
    <s v="Arizona"/>
    <n v="85023"/>
    <x v="1"/>
    <s v="OFF-AP-10002578"/>
    <x v="1"/>
    <s v="Appliances"/>
    <s v="Fellowes Premier Superior Surge Suppressor, 10-Outlet, With Phone and Remote"/>
    <n v="78.272000000000006"/>
    <n v="2"/>
    <x v="2"/>
    <n v="5.8704000000000001"/>
  </r>
  <r>
    <n v="468"/>
    <s v="US-2015-101399"/>
    <x v="184"/>
    <x v="191"/>
    <x v="1"/>
    <x v="185"/>
    <s v="Joni Sundaresam"/>
    <x v="2"/>
    <s v="United States"/>
    <s v="Park Ridge"/>
    <s v="Illinois"/>
    <n v="60068"/>
    <x v="2"/>
    <s v="FUR-FU-10002918"/>
    <x v="0"/>
    <s v="Furnishings"/>
    <s v="Eldon ClusterMat Chair Mat with Cordless Antistatic Protection"/>
    <n v="254.744"/>
    <n v="7"/>
    <x v="7"/>
    <n v="-312.06139999999999"/>
  </r>
  <r>
    <n v="469"/>
    <s v="CA-2017-154907"/>
    <x v="185"/>
    <x v="192"/>
    <x v="1"/>
    <x v="103"/>
    <s v="David Smith"/>
    <x v="1"/>
    <s v="United States"/>
    <s v="Amarillo"/>
    <s v="Texas"/>
    <n v="79109"/>
    <x v="2"/>
    <s v="FUR-BO-10002824"/>
    <x v="0"/>
    <s v="Bookcases"/>
    <s v="Bush Mission Pointe Library"/>
    <n v="205.33279999999999"/>
    <n v="2"/>
    <x v="8"/>
    <n v="-36.235199999999999"/>
  </r>
  <r>
    <n v="470"/>
    <s v="US-2016-100419"/>
    <x v="186"/>
    <x v="120"/>
    <x v="0"/>
    <x v="113"/>
    <s v="Craig Carreira"/>
    <x v="0"/>
    <s v="United States"/>
    <s v="Chicago"/>
    <s v="Illinois"/>
    <n v="60610"/>
    <x v="2"/>
    <s v="OFF-BI-10002194"/>
    <x v="1"/>
    <s v="Binders"/>
    <s v="Cardinal Hold-It CD Pocket"/>
    <n v="4.7880000000000003"/>
    <n v="3"/>
    <x v="3"/>
    <n v="-7.9001999999999999"/>
  </r>
  <r>
    <n v="471"/>
    <s v="CA-2015-154144"/>
    <x v="139"/>
    <x v="140"/>
    <x v="1"/>
    <x v="186"/>
    <s v="Maya Herman"/>
    <x v="1"/>
    <s v="United States"/>
    <s v="Lindenhurst"/>
    <s v="New York"/>
    <n v="11757"/>
    <x v="3"/>
    <s v="OFF-PA-10004071"/>
    <x v="1"/>
    <s v="Paper"/>
    <s v="Eaton Premium Continuous-Feed Paper, 25% Cotton, Letter Size, White, 1000 Shts/Box"/>
    <n v="55.48"/>
    <n v="1"/>
    <x v="0"/>
    <n v="26.630400000000002"/>
  </r>
  <r>
    <n v="472"/>
    <s v="CA-2014-144666"/>
    <x v="187"/>
    <x v="193"/>
    <x v="0"/>
    <x v="187"/>
    <s v="Jeremy Pistek"/>
    <x v="0"/>
    <s v="United States"/>
    <s v="San Francisco"/>
    <s v="California"/>
    <n v="94110"/>
    <x v="1"/>
    <s v="OFF-ST-10002743"/>
    <x v="1"/>
    <s v="Storage"/>
    <s v="SAFCO Boltless Steel Shelving"/>
    <n v="340.92"/>
    <n v="3"/>
    <x v="0"/>
    <n v="3.4091999999999798"/>
  </r>
  <r>
    <n v="473"/>
    <s v="CA-2014-144666"/>
    <x v="187"/>
    <x v="193"/>
    <x v="0"/>
    <x v="187"/>
    <s v="Jeremy Pistek"/>
    <x v="0"/>
    <s v="United States"/>
    <s v="San Francisco"/>
    <s v="California"/>
    <n v="94110"/>
    <x v="1"/>
    <s v="FUR-BO-10001601"/>
    <x v="0"/>
    <s v="Bookcases"/>
    <s v="Sauder Mission Library with Doors, Fruitwood Finish"/>
    <n v="222.666"/>
    <n v="2"/>
    <x v="11"/>
    <n v="10.478400000000001"/>
  </r>
  <r>
    <n v="474"/>
    <s v="CA-2014-144666"/>
    <x v="187"/>
    <x v="193"/>
    <x v="0"/>
    <x v="187"/>
    <s v="Jeremy Pistek"/>
    <x v="0"/>
    <s v="United States"/>
    <s v="San Francisco"/>
    <s v="California"/>
    <n v="94110"/>
    <x v="1"/>
    <s v="TEC-PH-10002680"/>
    <x v="2"/>
    <s v="Phones"/>
    <s v="Samsung Galaxy Note 3"/>
    <n v="703.96799999999996"/>
    <n v="4"/>
    <x v="2"/>
    <n v="87.995999999999896"/>
  </r>
  <r>
    <n v="475"/>
    <s v="CA-2014-144666"/>
    <x v="187"/>
    <x v="193"/>
    <x v="0"/>
    <x v="187"/>
    <s v="Jeremy Pistek"/>
    <x v="0"/>
    <s v="United States"/>
    <s v="San Francisco"/>
    <s v="California"/>
    <n v="94110"/>
    <x v="1"/>
    <s v="OFF-ST-10001321"/>
    <x v="1"/>
    <s v="Storage"/>
    <s v="Decoflex Hanging Personal Folder File, Blue"/>
    <n v="92.52"/>
    <n v="6"/>
    <x v="0"/>
    <n v="24.980399999999999"/>
  </r>
  <r>
    <n v="476"/>
    <s v="CA-2014-144666"/>
    <x v="187"/>
    <x v="193"/>
    <x v="0"/>
    <x v="187"/>
    <s v="Jeremy Pistek"/>
    <x v="0"/>
    <s v="United States"/>
    <s v="San Francisco"/>
    <s v="California"/>
    <n v="94110"/>
    <x v="1"/>
    <s v="OFF-PA-10001509"/>
    <x v="1"/>
    <s v="Paper"/>
    <s v="Recycled Desk Saver Line &quot;While You Were Out&quot; Book, 5 1/2&quot; X 4&quot;"/>
    <n v="62.65"/>
    <n v="7"/>
    <x v="0"/>
    <n v="28.818999999999999"/>
  </r>
  <r>
    <n v="477"/>
    <s v="CA-2014-144666"/>
    <x v="187"/>
    <x v="193"/>
    <x v="0"/>
    <x v="187"/>
    <s v="Jeremy Pistek"/>
    <x v="0"/>
    <s v="United States"/>
    <s v="San Francisco"/>
    <s v="California"/>
    <n v="94110"/>
    <x v="1"/>
    <s v="OFF-PA-10003465"/>
    <x v="1"/>
    <s v="Paper"/>
    <s v="Xerox 1912"/>
    <n v="94.85"/>
    <n v="5"/>
    <x v="0"/>
    <n v="45.527999999999999"/>
  </r>
  <r>
    <n v="478"/>
    <s v="CA-2016-103891"/>
    <x v="188"/>
    <x v="194"/>
    <x v="1"/>
    <x v="120"/>
    <s v="Kristen Hastings"/>
    <x v="1"/>
    <s v="United States"/>
    <s v="Los Angeles"/>
    <s v="California"/>
    <n v="90008"/>
    <x v="1"/>
    <s v="TEC-PH-10000149"/>
    <x v="2"/>
    <s v="Phones"/>
    <s v="Cisco SPA525G2 IP Phone - Wireless"/>
    <n v="95.76"/>
    <n v="6"/>
    <x v="2"/>
    <n v="7.1820000000000004"/>
  </r>
  <r>
    <n v="479"/>
    <s v="CA-2016-152632"/>
    <x v="189"/>
    <x v="195"/>
    <x v="1"/>
    <x v="188"/>
    <s v="Jeremy Ellison"/>
    <x v="0"/>
    <s v="United States"/>
    <s v="Troy"/>
    <s v="New York"/>
    <n v="12180"/>
    <x v="3"/>
    <s v="FUR-FU-10002671"/>
    <x v="0"/>
    <s v="Furnishings"/>
    <s v="Electrix 20W Halogen Replacement Bulb for Zoom-In Desk Lamp"/>
    <n v="40.200000000000003"/>
    <n v="3"/>
    <x v="0"/>
    <n v="19.295999999999999"/>
  </r>
  <r>
    <n v="480"/>
    <s v="CA-2016-100790"/>
    <x v="190"/>
    <x v="196"/>
    <x v="1"/>
    <x v="189"/>
    <s v="John Grady"/>
    <x v="1"/>
    <s v="United States"/>
    <s v="New York City"/>
    <s v="New York"/>
    <n v="10024"/>
    <x v="3"/>
    <s v="OFF-AR-10003045"/>
    <x v="1"/>
    <s v="Art"/>
    <s v="Prang Colored Pencils"/>
    <n v="14.7"/>
    <n v="5"/>
    <x v="0"/>
    <n v="6.6150000000000002"/>
  </r>
  <r>
    <n v="481"/>
    <s v="CA-2016-100790"/>
    <x v="190"/>
    <x v="196"/>
    <x v="1"/>
    <x v="189"/>
    <s v="John Grady"/>
    <x v="1"/>
    <s v="United States"/>
    <s v="New York City"/>
    <s v="New York"/>
    <n v="10024"/>
    <x v="3"/>
    <s v="OFF-ST-10000689"/>
    <x v="1"/>
    <s v="Storage"/>
    <s v="Fellowes Strictly Business Drawer File, Letter/Legal Size"/>
    <n v="704.25"/>
    <n v="5"/>
    <x v="0"/>
    <n v="84.51"/>
  </r>
  <r>
    <n v="482"/>
    <s v="CA-2014-134677"/>
    <x v="191"/>
    <x v="197"/>
    <x v="1"/>
    <x v="190"/>
    <s v="Xylona Preis"/>
    <x v="0"/>
    <s v="United States"/>
    <s v="San Diego"/>
    <s v="California"/>
    <n v="92024"/>
    <x v="1"/>
    <s v="TEC-AC-10001445"/>
    <x v="2"/>
    <s v="Accessories"/>
    <s v="Imation USB 2.0 Swivel Flash Drive USB flash drive - 4 GB - Pink"/>
    <n v="9.09"/>
    <n v="3"/>
    <x v="0"/>
    <n v="1.9089"/>
  </r>
  <r>
    <n v="483"/>
    <s v="CA-2014-127691"/>
    <x v="192"/>
    <x v="151"/>
    <x v="1"/>
    <x v="191"/>
    <s v="Erin Mull"/>
    <x v="0"/>
    <s v="United States"/>
    <s v="New York City"/>
    <s v="New York"/>
    <n v="10024"/>
    <x v="3"/>
    <s v="OFF-AR-10002053"/>
    <x v="1"/>
    <s v="Art"/>
    <s v="Premium Writing Pencils, Soft, #2 by Central Association for the Blind"/>
    <n v="5.96"/>
    <n v="2"/>
    <x v="0"/>
    <n v="1.6688000000000001"/>
  </r>
  <r>
    <n v="484"/>
    <s v="CA-2014-127691"/>
    <x v="192"/>
    <x v="151"/>
    <x v="1"/>
    <x v="191"/>
    <s v="Erin Mull"/>
    <x v="0"/>
    <s v="United States"/>
    <s v="New York City"/>
    <s v="New York"/>
    <n v="10024"/>
    <x v="3"/>
    <s v="TEC-AC-10002567"/>
    <x v="2"/>
    <s v="Accessories"/>
    <s v="Logitech G602 Wireless Gaming Mouse"/>
    <n v="159.97999999999999"/>
    <n v="2"/>
    <x v="0"/>
    <n v="57.592799999999997"/>
  </r>
  <r>
    <n v="485"/>
    <s v="CA-2017-140963"/>
    <x v="193"/>
    <x v="198"/>
    <x v="2"/>
    <x v="192"/>
    <s v="Michelle Tran"/>
    <x v="2"/>
    <s v="United States"/>
    <s v="Los Angeles"/>
    <s v="California"/>
    <n v="90045"/>
    <x v="1"/>
    <s v="OFF-LA-10003923"/>
    <x v="1"/>
    <s v="Labels"/>
    <s v="Alphabetical Labels for Top Tab Filing"/>
    <n v="29.6"/>
    <n v="2"/>
    <x v="0"/>
    <n v="14.8"/>
  </r>
  <r>
    <n v="486"/>
    <s v="CA-2017-140963"/>
    <x v="193"/>
    <x v="198"/>
    <x v="2"/>
    <x v="192"/>
    <s v="Michelle Tran"/>
    <x v="2"/>
    <s v="United States"/>
    <s v="Los Angeles"/>
    <s v="California"/>
    <n v="90045"/>
    <x v="1"/>
    <s v="FUR-BO-10001337"/>
    <x v="0"/>
    <s v="Bookcases"/>
    <s v="O'Sullivan Living Dimensions 2-Shelf Bookcases"/>
    <n v="514.16499999999996"/>
    <n v="5"/>
    <x v="11"/>
    <n v="-30.245000000000001"/>
  </r>
  <r>
    <n v="487"/>
    <s v="CA-2017-140963"/>
    <x v="193"/>
    <x v="198"/>
    <x v="2"/>
    <x v="192"/>
    <s v="Michelle Tran"/>
    <x v="2"/>
    <s v="United States"/>
    <s v="Los Angeles"/>
    <s v="California"/>
    <n v="90045"/>
    <x v="1"/>
    <s v="TEC-PH-10001924"/>
    <x v="2"/>
    <s v="Phones"/>
    <s v="iHome FM Clock Radio with Lightning Dock"/>
    <n v="279.95999999999998"/>
    <n v="5"/>
    <x v="2"/>
    <n v="17.497499999999999"/>
  </r>
  <r>
    <n v="488"/>
    <s v="CA-2014-154627"/>
    <x v="194"/>
    <x v="199"/>
    <x v="2"/>
    <x v="193"/>
    <s v="Sue Ann Reed"/>
    <x v="0"/>
    <s v="United States"/>
    <s v="Chicago"/>
    <s v="Illinois"/>
    <n v="60610"/>
    <x v="2"/>
    <s v="TEC-PH-10001363"/>
    <x v="2"/>
    <s v="Phones"/>
    <s v="Apple iPhone 5S"/>
    <n v="2735.9520000000002"/>
    <n v="6"/>
    <x v="2"/>
    <n v="341.99400000000003"/>
  </r>
  <r>
    <n v="489"/>
    <s v="CA-2014-133753"/>
    <x v="3"/>
    <x v="200"/>
    <x v="0"/>
    <x v="194"/>
    <s v="Carl Weiss"/>
    <x v="2"/>
    <s v="United States"/>
    <s v="Huntsville"/>
    <s v="Texas"/>
    <n v="77340"/>
    <x v="2"/>
    <s v="TEC-PH-10000376"/>
    <x v="2"/>
    <s v="Phones"/>
    <s v="Square Credit Card Reader"/>
    <n v="7.992"/>
    <n v="1"/>
    <x v="2"/>
    <n v="0.59940000000000004"/>
  </r>
  <r>
    <n v="490"/>
    <s v="CA-2014-133753"/>
    <x v="3"/>
    <x v="200"/>
    <x v="0"/>
    <x v="194"/>
    <s v="Carl Weiss"/>
    <x v="2"/>
    <s v="United States"/>
    <s v="Huntsville"/>
    <s v="Texas"/>
    <n v="77340"/>
    <x v="2"/>
    <s v="TEC-AC-10000303"/>
    <x v="2"/>
    <s v="Accessories"/>
    <s v="Logitech M510 Wireless Mouse"/>
    <n v="63.984000000000002"/>
    <n v="2"/>
    <x v="2"/>
    <n v="10.397399999999999"/>
  </r>
  <r>
    <n v="491"/>
    <s v="CA-2014-133753"/>
    <x v="3"/>
    <x v="200"/>
    <x v="0"/>
    <x v="194"/>
    <s v="Carl Weiss"/>
    <x v="2"/>
    <s v="United States"/>
    <s v="Huntsville"/>
    <s v="Texas"/>
    <n v="77340"/>
    <x v="2"/>
    <s v="OFF-AR-10001953"/>
    <x v="1"/>
    <s v="Art"/>
    <s v="Boston 1645 Deluxe Heavier-Duty Electric Pencil Sharpener"/>
    <n v="70.367999999999995"/>
    <n v="2"/>
    <x v="2"/>
    <n v="6.1571999999999996"/>
  </r>
  <r>
    <n v="492"/>
    <s v="CA-2014-113362"/>
    <x v="80"/>
    <x v="76"/>
    <x v="1"/>
    <x v="195"/>
    <s v="Astrea Jones"/>
    <x v="0"/>
    <s v="United States"/>
    <s v="Rochester"/>
    <s v="New York"/>
    <n v="14609"/>
    <x v="3"/>
    <s v="OFF-ST-10001809"/>
    <x v="1"/>
    <s v="Storage"/>
    <s v="Fellowes Officeware Wire Shelving"/>
    <n v="449.15"/>
    <n v="5"/>
    <x v="0"/>
    <n v="8.9829999999999899"/>
  </r>
  <r>
    <n v="493"/>
    <s v="CA-2014-113362"/>
    <x v="80"/>
    <x v="76"/>
    <x v="1"/>
    <x v="195"/>
    <s v="Astrea Jones"/>
    <x v="0"/>
    <s v="United States"/>
    <s v="Rochester"/>
    <s v="New York"/>
    <n v="14609"/>
    <x v="3"/>
    <s v="OFF-EN-10003845"/>
    <x v="1"/>
    <s v="Envelopes"/>
    <s v="Colored Envelopes"/>
    <n v="11.07"/>
    <n v="3"/>
    <x v="0"/>
    <n v="5.0922000000000001"/>
  </r>
  <r>
    <n v="494"/>
    <s v="CA-2016-169166"/>
    <x v="195"/>
    <x v="201"/>
    <x v="1"/>
    <x v="196"/>
    <s v="Sonia Sunley"/>
    <x v="0"/>
    <s v="United States"/>
    <s v="Seattle"/>
    <s v="Washington"/>
    <n v="98115"/>
    <x v="1"/>
    <s v="TEC-AC-10000991"/>
    <x v="2"/>
    <s v="Accessories"/>
    <s v="Sony Micro Vault Click 8 GB USB 2.0 Flash Drive"/>
    <n v="93.98"/>
    <n v="2"/>
    <x v="0"/>
    <n v="13.1572"/>
  </r>
  <r>
    <n v="495"/>
    <s v="US-2016-120929"/>
    <x v="196"/>
    <x v="202"/>
    <x v="0"/>
    <x v="197"/>
    <s v="Rose O'Brian"/>
    <x v="0"/>
    <s v="United States"/>
    <s v="Memphis"/>
    <s v="Tennessee"/>
    <n v="38109"/>
    <x v="0"/>
    <s v="FUR-TA-10001857"/>
    <x v="0"/>
    <s v="Tables"/>
    <s v="Balt Solid Wood Rectangular Table"/>
    <n v="189.88200000000001"/>
    <n v="3"/>
    <x v="10"/>
    <n v="-94.941000000000003"/>
  </r>
  <r>
    <n v="496"/>
    <s v="CA-2015-134782"/>
    <x v="17"/>
    <x v="16"/>
    <x v="1"/>
    <x v="198"/>
    <s v="Maribeth Dona"/>
    <x v="0"/>
    <s v="United States"/>
    <s v="Fayetteville"/>
    <s v="Arkansas"/>
    <n v="72701"/>
    <x v="0"/>
    <s v="OFF-EN-10001434"/>
    <x v="1"/>
    <s v="Envelopes"/>
    <s v="Strathmore #10 Envelopes, Ultimate White"/>
    <n v="105.42"/>
    <n v="2"/>
    <x v="0"/>
    <n v="51.655799999999999"/>
  </r>
  <r>
    <n v="497"/>
    <s v="CA-2016-126158"/>
    <x v="197"/>
    <x v="203"/>
    <x v="1"/>
    <x v="183"/>
    <s v="Sanjit Chand"/>
    <x v="0"/>
    <s v="United States"/>
    <s v="Costa Mesa"/>
    <s v="California"/>
    <n v="92627"/>
    <x v="1"/>
    <s v="OFF-BI-10002498"/>
    <x v="1"/>
    <s v="Binders"/>
    <s v="Clear Mylar Reinforcing Strips"/>
    <n v="119.616"/>
    <n v="8"/>
    <x v="2"/>
    <n v="40.370399999999997"/>
  </r>
  <r>
    <n v="498"/>
    <s v="CA-2016-126158"/>
    <x v="197"/>
    <x v="203"/>
    <x v="1"/>
    <x v="183"/>
    <s v="Sanjit Chand"/>
    <x v="0"/>
    <s v="United States"/>
    <s v="Costa Mesa"/>
    <s v="California"/>
    <n v="92627"/>
    <x v="1"/>
    <s v="FUR-FU-10004864"/>
    <x v="0"/>
    <s v="Furnishings"/>
    <s v="Howard Miller 14-1/2&quot; Diameter Chrome Round Wall Clock"/>
    <n v="255.76"/>
    <n v="4"/>
    <x v="0"/>
    <n v="81.843199999999996"/>
  </r>
  <r>
    <n v="499"/>
    <s v="CA-2016-126158"/>
    <x v="197"/>
    <x v="203"/>
    <x v="1"/>
    <x v="183"/>
    <s v="Sanjit Chand"/>
    <x v="0"/>
    <s v="United States"/>
    <s v="Costa Mesa"/>
    <s v="California"/>
    <n v="92627"/>
    <x v="1"/>
    <s v="FUR-CH-10002602"/>
    <x v="0"/>
    <s v="Chairs"/>
    <s v="DMI Arturo Collection Mission-style Design Wood Chair"/>
    <n v="241.56800000000001"/>
    <n v="2"/>
    <x v="2"/>
    <n v="18.117599999999999"/>
  </r>
  <r>
    <n v="500"/>
    <s v="CA-2016-126158"/>
    <x v="197"/>
    <x v="203"/>
    <x v="1"/>
    <x v="183"/>
    <s v="Sanjit Chand"/>
    <x v="0"/>
    <s v="United States"/>
    <s v="Costa Mesa"/>
    <s v="California"/>
    <n v="92627"/>
    <x v="1"/>
    <s v="FUR-FU-10000073"/>
    <x v="0"/>
    <s v="Furnishings"/>
    <s v="Deflect-O Glasstique Clear Desk Accessories"/>
    <n v="69.3"/>
    <n v="9"/>
    <x v="0"/>
    <n v="22.869"/>
  </r>
  <r>
    <n v="501"/>
    <s v="US-2016-105578"/>
    <x v="198"/>
    <x v="204"/>
    <x v="1"/>
    <x v="199"/>
    <s v="Maribeth Yedwab"/>
    <x v="1"/>
    <s v="United States"/>
    <s v="Parker"/>
    <s v="Colorado"/>
    <n v="80134"/>
    <x v="1"/>
    <s v="OFF-BI-10001670"/>
    <x v="1"/>
    <s v="Binders"/>
    <s v="Vinyl Sectional Post Binders"/>
    <n v="22.62"/>
    <n v="2"/>
    <x v="6"/>
    <n v="-15.08"/>
  </r>
  <r>
    <n v="502"/>
    <s v="US-2016-105578"/>
    <x v="198"/>
    <x v="204"/>
    <x v="1"/>
    <x v="199"/>
    <s v="Maribeth Yedwab"/>
    <x v="1"/>
    <s v="United States"/>
    <s v="Parker"/>
    <s v="Colorado"/>
    <n v="80134"/>
    <x v="1"/>
    <s v="OFF-BI-10001658"/>
    <x v="1"/>
    <s v="Binders"/>
    <s v="GBC Standard Therm-A-Bind Covers"/>
    <n v="14.952"/>
    <n v="2"/>
    <x v="6"/>
    <n v="-11.961600000000001"/>
  </r>
  <r>
    <n v="503"/>
    <s v="US-2016-105578"/>
    <x v="198"/>
    <x v="204"/>
    <x v="1"/>
    <x v="199"/>
    <s v="Maribeth Yedwab"/>
    <x v="1"/>
    <s v="United States"/>
    <s v="Parker"/>
    <s v="Colorado"/>
    <n v="80134"/>
    <x v="1"/>
    <s v="FUR-CH-10001215"/>
    <x v="0"/>
    <s v="Chairs"/>
    <s v="Global Troy Executive Leather Low-Back Tilter"/>
    <n v="801.56799999999998"/>
    <n v="2"/>
    <x v="2"/>
    <n v="50.097999999999999"/>
  </r>
  <r>
    <n v="504"/>
    <s v="US-2016-105578"/>
    <x v="198"/>
    <x v="204"/>
    <x v="1"/>
    <x v="199"/>
    <s v="Maribeth Yedwab"/>
    <x v="1"/>
    <s v="United States"/>
    <s v="Parker"/>
    <s v="Colorado"/>
    <n v="80134"/>
    <x v="1"/>
    <s v="OFF-BI-10000831"/>
    <x v="1"/>
    <s v="Binders"/>
    <s v="Storex Flexible Poly Binders with Double Pockets"/>
    <n v="2.3759999999999999"/>
    <n v="3"/>
    <x v="6"/>
    <n v="-1.9008"/>
  </r>
  <r>
    <n v="505"/>
    <s v="US-2016-105578"/>
    <x v="198"/>
    <x v="204"/>
    <x v="1"/>
    <x v="199"/>
    <s v="Maribeth Yedwab"/>
    <x v="1"/>
    <s v="United States"/>
    <s v="Parker"/>
    <s v="Colorado"/>
    <n v="80134"/>
    <x v="1"/>
    <s v="OFF-PA-10000357"/>
    <x v="1"/>
    <s v="Paper"/>
    <s v="White Dual Perf Computer Printout Paper, 2700 Sheets, 1 Part, Heavyweight, 20 lbs., 14 7/8 x 11"/>
    <n v="32.792000000000002"/>
    <n v="1"/>
    <x v="2"/>
    <n v="11.8871"/>
  </r>
  <r>
    <n v="506"/>
    <s v="CA-2017-134978"/>
    <x v="105"/>
    <x v="205"/>
    <x v="0"/>
    <x v="182"/>
    <s v="Ed Braxton"/>
    <x v="1"/>
    <s v="United States"/>
    <s v="New York City"/>
    <s v="New York"/>
    <n v="10024"/>
    <x v="3"/>
    <s v="OFF-BI-10003274"/>
    <x v="1"/>
    <s v="Binders"/>
    <s v="Avery Durable Slant Ring Binders, No Labels"/>
    <n v="15.92"/>
    <n v="5"/>
    <x v="2"/>
    <n v="5.3730000000000002"/>
  </r>
  <r>
    <n v="507"/>
    <s v="CA-2015-145352"/>
    <x v="199"/>
    <x v="206"/>
    <x v="1"/>
    <x v="200"/>
    <s v="Christopher Martinez"/>
    <x v="0"/>
    <s v="United States"/>
    <s v="Atlanta"/>
    <s v="Georgia"/>
    <n v="30318"/>
    <x v="0"/>
    <s v="OFF-AR-10001662"/>
    <x v="1"/>
    <s v="Art"/>
    <s v="Rogers Handheld Barrel Pencil Sharpener"/>
    <n v="2.74"/>
    <n v="1"/>
    <x v="0"/>
    <n v="0.73980000000000001"/>
  </r>
  <r>
    <n v="508"/>
    <s v="CA-2015-145352"/>
    <x v="199"/>
    <x v="206"/>
    <x v="1"/>
    <x v="200"/>
    <s v="Christopher Martinez"/>
    <x v="0"/>
    <s v="United States"/>
    <s v="Atlanta"/>
    <s v="Georgia"/>
    <n v="30318"/>
    <x v="0"/>
    <s v="OFF-AR-10003856"/>
    <x v="1"/>
    <s v="Art"/>
    <s v="Newell 344"/>
    <n v="8.34"/>
    <n v="3"/>
    <x v="0"/>
    <n v="2.1684000000000001"/>
  </r>
  <r>
    <n v="509"/>
    <s v="CA-2015-145352"/>
    <x v="199"/>
    <x v="206"/>
    <x v="1"/>
    <x v="200"/>
    <s v="Christopher Martinez"/>
    <x v="0"/>
    <s v="United States"/>
    <s v="Atlanta"/>
    <s v="Georgia"/>
    <n v="30318"/>
    <x v="0"/>
    <s v="OFF-ST-10001228"/>
    <x v="1"/>
    <s v="Storage"/>
    <s v="Personal File Boxes with Fold-Down Carry Handle"/>
    <n v="46.74"/>
    <n v="3"/>
    <x v="0"/>
    <n v="11.685"/>
  </r>
  <r>
    <n v="510"/>
    <s v="CA-2015-145352"/>
    <x v="199"/>
    <x v="206"/>
    <x v="1"/>
    <x v="200"/>
    <s v="Christopher Martinez"/>
    <x v="0"/>
    <s v="United States"/>
    <s v="Atlanta"/>
    <s v="Georgia"/>
    <n v="30318"/>
    <x v="0"/>
    <s v="OFF-BI-10003527"/>
    <x v="1"/>
    <s v="Binders"/>
    <s v="Fellowes PB500 Electric Punch Plastic Comb Binding Machine with Manual Bind"/>
    <n v="6354.95"/>
    <n v="5"/>
    <x v="0"/>
    <n v="3177.4749999999999"/>
  </r>
  <r>
    <n v="511"/>
    <s v="CA-2017-135307"/>
    <x v="200"/>
    <x v="207"/>
    <x v="2"/>
    <x v="201"/>
    <s v="Lynn Smith"/>
    <x v="0"/>
    <s v="United States"/>
    <s v="Gladstone"/>
    <s v="Missouri"/>
    <n v="64118"/>
    <x v="2"/>
    <s v="FUR-FU-10001290"/>
    <x v="0"/>
    <s v="Furnishings"/>
    <s v="Executive Impressions Supervisor Wall Clock"/>
    <n v="126.3"/>
    <n v="3"/>
    <x v="0"/>
    <n v="40.415999999999997"/>
  </r>
  <r>
    <n v="512"/>
    <s v="CA-2017-135307"/>
    <x v="200"/>
    <x v="207"/>
    <x v="2"/>
    <x v="201"/>
    <s v="Lynn Smith"/>
    <x v="0"/>
    <s v="United States"/>
    <s v="Gladstone"/>
    <s v="Missouri"/>
    <n v="64118"/>
    <x v="2"/>
    <s v="TEC-AC-10002399"/>
    <x v="2"/>
    <s v="Accessories"/>
    <s v="SanDisk Cruzer 32 GB USB Flash Drive"/>
    <n v="38.04"/>
    <n v="2"/>
    <x v="0"/>
    <n v="12.172800000000001"/>
  </r>
  <r>
    <n v="513"/>
    <s v="CA-2016-106341"/>
    <x v="201"/>
    <x v="208"/>
    <x v="2"/>
    <x v="166"/>
    <s v="Luke Foster"/>
    <x v="0"/>
    <s v="United States"/>
    <s v="Newark"/>
    <s v="Ohio"/>
    <n v="43055"/>
    <x v="3"/>
    <s v="OFF-AR-10002053"/>
    <x v="1"/>
    <s v="Art"/>
    <s v="Premium Writing Pencils, Soft, #2 by Central Association for the Blind"/>
    <n v="7.1520000000000001"/>
    <n v="3"/>
    <x v="2"/>
    <n v="0.71519999999999995"/>
  </r>
  <r>
    <n v="514"/>
    <s v="CA-2017-163405"/>
    <x v="202"/>
    <x v="209"/>
    <x v="1"/>
    <x v="202"/>
    <s v="Bradley Nguyen"/>
    <x v="0"/>
    <s v="United States"/>
    <s v="Los Angeles"/>
    <s v="California"/>
    <n v="90049"/>
    <x v="1"/>
    <s v="OFF-AR-10003811"/>
    <x v="1"/>
    <s v="Art"/>
    <s v="Newell 327"/>
    <n v="6.63"/>
    <n v="3"/>
    <x v="0"/>
    <n v="1.7901"/>
  </r>
  <r>
    <n v="515"/>
    <s v="CA-2017-163405"/>
    <x v="202"/>
    <x v="209"/>
    <x v="1"/>
    <x v="202"/>
    <s v="Bradley Nguyen"/>
    <x v="0"/>
    <s v="United States"/>
    <s v="Los Angeles"/>
    <s v="California"/>
    <n v="90049"/>
    <x v="1"/>
    <s v="OFF-AR-10001246"/>
    <x v="1"/>
    <s v="Art"/>
    <s v="Newell 317"/>
    <n v="5.88"/>
    <n v="2"/>
    <x v="0"/>
    <n v="1.7052"/>
  </r>
  <r>
    <n v="516"/>
    <s v="CA-2017-127432"/>
    <x v="203"/>
    <x v="210"/>
    <x v="1"/>
    <x v="57"/>
    <s v="Alan Dominguez"/>
    <x v="2"/>
    <s v="United States"/>
    <s v="Great Falls"/>
    <s v="Montana"/>
    <n v="59405"/>
    <x v="1"/>
    <s v="TEC-CO-10003236"/>
    <x v="2"/>
    <s v="Copiers"/>
    <s v="Canon Image Class D660 Copier"/>
    <n v="2999.95"/>
    <n v="5"/>
    <x v="0"/>
    <n v="1379.9770000000001"/>
  </r>
  <r>
    <n v="517"/>
    <s v="CA-2017-127432"/>
    <x v="203"/>
    <x v="210"/>
    <x v="1"/>
    <x v="57"/>
    <s v="Alan Dominguez"/>
    <x v="2"/>
    <s v="United States"/>
    <s v="Great Falls"/>
    <s v="Montana"/>
    <n v="59405"/>
    <x v="1"/>
    <s v="OFF-ST-10004507"/>
    <x v="1"/>
    <s v="Storage"/>
    <s v="Advantus Rolling Storage Box"/>
    <n v="51.45"/>
    <n v="3"/>
    <x v="0"/>
    <n v="13.891500000000001"/>
  </r>
  <r>
    <n v="518"/>
    <s v="CA-2017-127432"/>
    <x v="203"/>
    <x v="210"/>
    <x v="1"/>
    <x v="57"/>
    <s v="Alan Dominguez"/>
    <x v="2"/>
    <s v="United States"/>
    <s v="Great Falls"/>
    <s v="Montana"/>
    <n v="59405"/>
    <x v="1"/>
    <s v="OFF-PA-10001667"/>
    <x v="1"/>
    <s v="Paper"/>
    <s v="Great White Multi-Use Recycled Paper (20Lb. and 84 Bright)"/>
    <n v="11.96"/>
    <n v="2"/>
    <x v="0"/>
    <n v="5.3819999999999997"/>
  </r>
  <r>
    <n v="519"/>
    <s v="CA-2017-127432"/>
    <x v="203"/>
    <x v="210"/>
    <x v="1"/>
    <x v="57"/>
    <s v="Alan Dominguez"/>
    <x v="2"/>
    <s v="United States"/>
    <s v="Great Falls"/>
    <s v="Montana"/>
    <n v="59405"/>
    <x v="1"/>
    <s v="OFF-ST-10004459"/>
    <x v="1"/>
    <s v="Storage"/>
    <s v="Tennsco Single-Tier Lockers"/>
    <n v="1126.02"/>
    <n v="3"/>
    <x v="0"/>
    <n v="56.301000000000002"/>
  </r>
  <r>
    <n v="520"/>
    <s v="CA-2015-157812"/>
    <x v="204"/>
    <x v="211"/>
    <x v="1"/>
    <x v="203"/>
    <s v="Dean Braden"/>
    <x v="0"/>
    <s v="United States"/>
    <s v="Houston"/>
    <s v="Texas"/>
    <n v="77041"/>
    <x v="2"/>
    <s v="TEC-AC-10000171"/>
    <x v="2"/>
    <s v="Accessories"/>
    <s v="Verbatim 25 GB 6x Blu-ray Single Layer Recordable Disc, 25/Pack"/>
    <n v="18.391999999999999"/>
    <n v="1"/>
    <x v="2"/>
    <n v="5.2877000000000001"/>
  </r>
  <r>
    <n v="521"/>
    <s v="CA-2015-157812"/>
    <x v="204"/>
    <x v="211"/>
    <x v="1"/>
    <x v="203"/>
    <s v="Dean Braden"/>
    <x v="0"/>
    <s v="United States"/>
    <s v="Houston"/>
    <s v="Texas"/>
    <n v="77041"/>
    <x v="2"/>
    <s v="OFF-ST-10000736"/>
    <x v="1"/>
    <s v="Storage"/>
    <s v="Carina Double Wide Media Storage Towers in Natural &amp; Black"/>
    <n v="129.56800000000001"/>
    <n v="2"/>
    <x v="2"/>
    <n v="-25.913599999999999"/>
  </r>
  <r>
    <n v="522"/>
    <s v="CA-2015-157812"/>
    <x v="204"/>
    <x v="211"/>
    <x v="1"/>
    <x v="203"/>
    <s v="Dean Braden"/>
    <x v="0"/>
    <s v="United States"/>
    <s v="Houston"/>
    <s v="Texas"/>
    <n v="77041"/>
    <x v="2"/>
    <s v="OFF-BI-10000285"/>
    <x v="1"/>
    <s v="Binders"/>
    <s v="XtraLife ClearVue Slant-D Ring Binders by Cardinal"/>
    <n v="14.112"/>
    <n v="9"/>
    <x v="3"/>
    <n v="-21.167999999999999"/>
  </r>
  <r>
    <n v="523"/>
    <s v="CA-2017-145142"/>
    <x v="205"/>
    <x v="212"/>
    <x v="2"/>
    <x v="204"/>
    <s v="Matt Connell"/>
    <x v="1"/>
    <s v="United States"/>
    <s v="Detroit"/>
    <s v="Michigan"/>
    <n v="48234"/>
    <x v="2"/>
    <s v="FUR-TA-10001857"/>
    <x v="0"/>
    <s v="Tables"/>
    <s v="Balt Solid Wood Rectangular Table"/>
    <n v="210.98"/>
    <n v="2"/>
    <x v="0"/>
    <n v="21.097999999999999"/>
  </r>
  <r>
    <n v="524"/>
    <s v="US-2016-139486"/>
    <x v="206"/>
    <x v="213"/>
    <x v="2"/>
    <x v="109"/>
    <s v="Logan Haushalter"/>
    <x v="0"/>
    <s v="United States"/>
    <s v="Los Angeles"/>
    <s v="California"/>
    <n v="90032"/>
    <x v="1"/>
    <s v="TEC-PH-10003555"/>
    <x v="2"/>
    <s v="Phones"/>
    <s v="Motorola HK250 Universal Bluetooth Headset"/>
    <n v="55.176000000000002"/>
    <n v="3"/>
    <x v="2"/>
    <n v="-12.4146"/>
  </r>
  <r>
    <n v="525"/>
    <s v="US-2016-139486"/>
    <x v="206"/>
    <x v="213"/>
    <x v="2"/>
    <x v="109"/>
    <s v="Logan Haushalter"/>
    <x v="0"/>
    <s v="United States"/>
    <s v="Los Angeles"/>
    <s v="California"/>
    <n v="90032"/>
    <x v="1"/>
    <s v="TEC-AC-10003832"/>
    <x v="2"/>
    <s v="Accessories"/>
    <s v="Imation 16GB Mini TravelDrive USB 2.0 Flash Drive"/>
    <n v="66.260000000000005"/>
    <n v="2"/>
    <x v="0"/>
    <n v="27.166599999999999"/>
  </r>
  <r>
    <n v="526"/>
    <s v="CA-2015-158792"/>
    <x v="207"/>
    <x v="214"/>
    <x v="1"/>
    <x v="205"/>
    <s v="Brian Dahlen"/>
    <x v="0"/>
    <s v="United States"/>
    <s v="Lawrence"/>
    <s v="Massachusetts"/>
    <n v="1841"/>
    <x v="3"/>
    <s v="OFF-FA-10002815"/>
    <x v="1"/>
    <s v="Fasteners"/>
    <s v="Staples"/>
    <n v="22.2"/>
    <n v="5"/>
    <x v="0"/>
    <n v="10.433999999999999"/>
  </r>
  <r>
    <n v="527"/>
    <s v="CA-2017-113558"/>
    <x v="208"/>
    <x v="215"/>
    <x v="1"/>
    <x v="206"/>
    <s v="Patricia Hirasaki"/>
    <x v="2"/>
    <s v="United States"/>
    <s v="Lakeland"/>
    <s v="Florida"/>
    <n v="33801"/>
    <x v="0"/>
    <s v="FUR-CH-10003379"/>
    <x v="0"/>
    <s v="Chairs"/>
    <s v="Global Commerce Series High-Back Swivel/Tilt Chairs"/>
    <n v="683.952"/>
    <n v="3"/>
    <x v="2"/>
    <n v="42.747"/>
  </r>
  <r>
    <n v="528"/>
    <s v="CA-2017-113558"/>
    <x v="208"/>
    <x v="215"/>
    <x v="1"/>
    <x v="206"/>
    <s v="Patricia Hirasaki"/>
    <x v="2"/>
    <s v="United States"/>
    <s v="Lakeland"/>
    <s v="Florida"/>
    <n v="33801"/>
    <x v="0"/>
    <s v="FUR-FU-10001756"/>
    <x v="0"/>
    <s v="Furnishings"/>
    <s v="Eldon Expressions Desk Accessory, Wood Photo Frame, Mahogany"/>
    <n v="45.695999999999998"/>
    <n v="3"/>
    <x v="2"/>
    <n v="5.1407999999999898"/>
  </r>
  <r>
    <n v="529"/>
    <s v="US-2015-138303"/>
    <x v="37"/>
    <x v="216"/>
    <x v="1"/>
    <x v="207"/>
    <s v="Mike Gockenbach"/>
    <x v="0"/>
    <s v="United States"/>
    <s v="Philadelphia"/>
    <s v="Pennsylvania"/>
    <n v="19134"/>
    <x v="3"/>
    <s v="OFF-ST-10004963"/>
    <x v="1"/>
    <s v="Storage"/>
    <s v="Eldon Gobal File Keepers"/>
    <n v="36.335999999999999"/>
    <n v="3"/>
    <x v="2"/>
    <n v="-7.2671999999999999"/>
  </r>
  <r>
    <n v="530"/>
    <s v="US-2015-138303"/>
    <x v="37"/>
    <x v="216"/>
    <x v="1"/>
    <x v="207"/>
    <s v="Mike Gockenbach"/>
    <x v="0"/>
    <s v="United States"/>
    <s v="Philadelphia"/>
    <s v="Pennsylvania"/>
    <n v="19134"/>
    <x v="3"/>
    <s v="OFF-SU-10002881"/>
    <x v="1"/>
    <s v="Supplies"/>
    <s v="Martin Yale Chadless Opener Electric Letter Opener"/>
    <n v="666.24800000000005"/>
    <n v="1"/>
    <x v="2"/>
    <n v="-149.9058"/>
  </r>
  <r>
    <n v="531"/>
    <s v="US-2015-138303"/>
    <x v="37"/>
    <x v="216"/>
    <x v="1"/>
    <x v="207"/>
    <s v="Mike Gockenbach"/>
    <x v="0"/>
    <s v="United States"/>
    <s v="Philadelphia"/>
    <s v="Pennsylvania"/>
    <n v="19134"/>
    <x v="3"/>
    <s v="OFF-EN-10001335"/>
    <x v="1"/>
    <s v="Envelopes"/>
    <s v="White Business Envelopes with Contemporary Seam, Recycled White Business Envelopes"/>
    <n v="52.512"/>
    <n v="6"/>
    <x v="2"/>
    <n v="19.692"/>
  </r>
  <r>
    <n v="532"/>
    <s v="CA-2015-102848"/>
    <x v="209"/>
    <x v="217"/>
    <x v="0"/>
    <x v="208"/>
    <s v="Karen Bern"/>
    <x v="1"/>
    <s v="United States"/>
    <s v="Los Angeles"/>
    <s v="California"/>
    <n v="90036"/>
    <x v="1"/>
    <s v="FUR-CH-10000595"/>
    <x v="0"/>
    <s v="Chairs"/>
    <s v="Safco Contoured Stacking Chairs"/>
    <n v="190.72"/>
    <n v="1"/>
    <x v="2"/>
    <n v="11.92"/>
  </r>
  <r>
    <n v="533"/>
    <s v="US-2017-129441"/>
    <x v="210"/>
    <x v="218"/>
    <x v="1"/>
    <x v="209"/>
    <s v="Jasper Cacioppo"/>
    <x v="0"/>
    <s v="United States"/>
    <s v="Los Angeles"/>
    <s v="California"/>
    <n v="90032"/>
    <x v="1"/>
    <s v="FUR-FU-10000448"/>
    <x v="0"/>
    <s v="Furnishings"/>
    <s v="Tenex Chairmats For Use With Carpeted Floors"/>
    <n v="47.94"/>
    <n v="3"/>
    <x v="0"/>
    <n v="2.3969999999999998"/>
  </r>
  <r>
    <n v="534"/>
    <s v="CA-2016-168753"/>
    <x v="211"/>
    <x v="219"/>
    <x v="0"/>
    <x v="210"/>
    <s v="Rob Lucas"/>
    <x v="0"/>
    <s v="United States"/>
    <s v="Montgomery"/>
    <s v="Alabama"/>
    <n v="36116"/>
    <x v="0"/>
    <s v="TEC-PH-10000984"/>
    <x v="2"/>
    <s v="Phones"/>
    <s v="Panasonic KX-TG9471B"/>
    <n v="979.95"/>
    <n v="5"/>
    <x v="0"/>
    <n v="274.38600000000002"/>
  </r>
  <r>
    <n v="535"/>
    <s v="CA-2016-168753"/>
    <x v="211"/>
    <x v="219"/>
    <x v="0"/>
    <x v="210"/>
    <s v="Rob Lucas"/>
    <x v="0"/>
    <s v="United States"/>
    <s v="Montgomery"/>
    <s v="Alabama"/>
    <n v="36116"/>
    <x v="0"/>
    <s v="OFF-BI-10002557"/>
    <x v="1"/>
    <s v="Binders"/>
    <s v="Presstex Flexible Ring Binders"/>
    <n v="22.75"/>
    <n v="5"/>
    <x v="0"/>
    <n v="11.375"/>
  </r>
  <r>
    <n v="536"/>
    <s v="CA-2016-126613"/>
    <x v="212"/>
    <x v="220"/>
    <x v="1"/>
    <x v="211"/>
    <s v="Allen Armold"/>
    <x v="0"/>
    <s v="United States"/>
    <s v="Mesa"/>
    <s v="Arizona"/>
    <n v="85204"/>
    <x v="1"/>
    <s v="OFF-ST-10001325"/>
    <x v="1"/>
    <s v="Storage"/>
    <s v="Sterilite Officeware Hinged File Box"/>
    <n v="16.768000000000001"/>
    <n v="2"/>
    <x v="2"/>
    <n v="1.4672000000000001"/>
  </r>
  <r>
    <n v="537"/>
    <s v="US-2017-122637"/>
    <x v="213"/>
    <x v="221"/>
    <x v="0"/>
    <x v="212"/>
    <s v="Emily Phan"/>
    <x v="0"/>
    <s v="United States"/>
    <s v="Chicago"/>
    <s v="Illinois"/>
    <n v="60653"/>
    <x v="2"/>
    <s v="OFF-BI-10002429"/>
    <x v="1"/>
    <s v="Binders"/>
    <s v="Premier Elliptical Ring Binder, Black"/>
    <n v="42.616"/>
    <n v="7"/>
    <x v="3"/>
    <n v="-68.185599999999994"/>
  </r>
  <r>
    <n v="538"/>
    <s v="CA-2015-147851"/>
    <x v="155"/>
    <x v="222"/>
    <x v="1"/>
    <x v="88"/>
    <s v="Mark Packer"/>
    <x v="2"/>
    <s v="United States"/>
    <s v="New York City"/>
    <s v="New York"/>
    <n v="10009"/>
    <x v="3"/>
    <s v="OFF-BI-10004528"/>
    <x v="1"/>
    <s v="Binders"/>
    <s v="Cardinal Poly Pocket Divider Pockets for Ring Binders"/>
    <n v="10.752000000000001"/>
    <n v="4"/>
    <x v="2"/>
    <n v="3.36"/>
  </r>
  <r>
    <n v="539"/>
    <s v="CA-2015-134894"/>
    <x v="214"/>
    <x v="223"/>
    <x v="1"/>
    <x v="213"/>
    <s v="Darren Koutras"/>
    <x v="0"/>
    <s v="United States"/>
    <s v="Henderson"/>
    <s v="Kentucky"/>
    <n v="42420"/>
    <x v="0"/>
    <s v="OFF-AP-10001271"/>
    <x v="1"/>
    <s v="Appliances"/>
    <s v="Eureka The Boss Cordless Rechargeable Stick Vac"/>
    <n v="152.94"/>
    <n v="3"/>
    <x v="0"/>
    <n v="41.293799999999997"/>
  </r>
  <r>
    <n v="540"/>
    <s v="CA-2015-134894"/>
    <x v="214"/>
    <x v="223"/>
    <x v="1"/>
    <x v="213"/>
    <s v="Darren Koutras"/>
    <x v="0"/>
    <s v="United States"/>
    <s v="Henderson"/>
    <s v="Kentucky"/>
    <n v="42420"/>
    <x v="0"/>
    <s v="FUR-CH-10002647"/>
    <x v="0"/>
    <s v="Chairs"/>
    <s v="Situations Contoured Folding Chairs, 4/Set"/>
    <n v="283.92"/>
    <n v="4"/>
    <x v="0"/>
    <n v="70.98"/>
  </r>
  <r>
    <n v="541"/>
    <s v="CA-2014-140795"/>
    <x v="215"/>
    <x v="224"/>
    <x v="2"/>
    <x v="214"/>
    <s v="Bradley Drucker"/>
    <x v="0"/>
    <s v="United States"/>
    <s v="Green Bay"/>
    <s v="Wisconsin"/>
    <n v="54302"/>
    <x v="2"/>
    <s v="TEC-AC-10001432"/>
    <x v="2"/>
    <s v="Accessories"/>
    <s v="Enermax Aurora Lite Keyboard"/>
    <n v="468.9"/>
    <n v="6"/>
    <x v="0"/>
    <n v="206.316"/>
  </r>
  <r>
    <n v="542"/>
    <s v="CA-2016-136924"/>
    <x v="216"/>
    <x v="225"/>
    <x v="2"/>
    <x v="20"/>
    <s v="Erin Smith"/>
    <x v="1"/>
    <s v="United States"/>
    <s v="Tucson"/>
    <s v="Arizona"/>
    <n v="85705"/>
    <x v="1"/>
    <s v="TEC-PH-10002262"/>
    <x v="2"/>
    <s v="Phones"/>
    <s v="LG Electronics Tone+ HBS-730 Bluetooth Headset"/>
    <n v="380.86399999999998"/>
    <n v="8"/>
    <x v="2"/>
    <n v="38.086399999999998"/>
  </r>
  <r>
    <n v="543"/>
    <s v="US-2015-120161"/>
    <x v="217"/>
    <x v="226"/>
    <x v="1"/>
    <x v="215"/>
    <s v="Liz MacKendrick"/>
    <x v="0"/>
    <s v="United States"/>
    <s v="Springfield"/>
    <s v="Ohio"/>
    <n v="45503"/>
    <x v="3"/>
    <s v="OFF-ST-10001809"/>
    <x v="1"/>
    <s v="Storage"/>
    <s v="Fellowes Officeware Wire Shelving"/>
    <n v="646.77599999999995"/>
    <n v="9"/>
    <x v="2"/>
    <n v="-145.52459999999999"/>
  </r>
  <r>
    <n v="544"/>
    <s v="CA-2014-103849"/>
    <x v="218"/>
    <x v="227"/>
    <x v="1"/>
    <x v="38"/>
    <s v="Paul Gonzalez"/>
    <x v="0"/>
    <s v="United States"/>
    <s v="Fort Worth"/>
    <s v="Texas"/>
    <n v="76106"/>
    <x v="2"/>
    <s v="TEC-AC-10001465"/>
    <x v="2"/>
    <s v="Accessories"/>
    <s v="SanDisk Cruzer 64 GB USB Flash Drive"/>
    <n v="58.112000000000002"/>
    <n v="2"/>
    <x v="2"/>
    <n v="7.2639999999999896"/>
  </r>
  <r>
    <n v="545"/>
    <s v="CA-2014-103849"/>
    <x v="218"/>
    <x v="227"/>
    <x v="1"/>
    <x v="38"/>
    <s v="Paul Gonzalez"/>
    <x v="0"/>
    <s v="United States"/>
    <s v="Fort Worth"/>
    <s v="Texas"/>
    <n v="76106"/>
    <x v="2"/>
    <s v="TEC-PH-10002597"/>
    <x v="2"/>
    <s v="Phones"/>
    <s v="Xblue XB-1670-86 X16 Small Office Telephone - Titanium"/>
    <n v="100.792"/>
    <n v="1"/>
    <x v="2"/>
    <n v="6.2995000000000001"/>
  </r>
  <r>
    <n v="546"/>
    <s v="CA-2014-103849"/>
    <x v="218"/>
    <x v="227"/>
    <x v="1"/>
    <x v="38"/>
    <s v="Paul Gonzalez"/>
    <x v="0"/>
    <s v="United States"/>
    <s v="Fort Worth"/>
    <s v="Texas"/>
    <n v="76106"/>
    <x v="2"/>
    <s v="FUR-FU-10000723"/>
    <x v="0"/>
    <s v="Furnishings"/>
    <s v="Deflect-o EconoMat Studded, No Bevel Mat for Low Pile Carpeting"/>
    <n v="66.111999999999995"/>
    <n v="4"/>
    <x v="7"/>
    <n v="-84.2928"/>
  </r>
  <r>
    <n v="547"/>
    <s v="CA-2017-162929"/>
    <x v="123"/>
    <x v="228"/>
    <x v="2"/>
    <x v="216"/>
    <s v="Adrian Shami"/>
    <x v="2"/>
    <s v="United States"/>
    <s v="New York City"/>
    <s v="New York"/>
    <n v="10035"/>
    <x v="3"/>
    <s v="OFF-BI-10000404"/>
    <x v="1"/>
    <s v="Binders"/>
    <s v="Avery Printable Repositionable Plastic Tabs"/>
    <n v="41.28"/>
    <n v="6"/>
    <x v="2"/>
    <n v="13.932"/>
  </r>
  <r>
    <n v="548"/>
    <s v="CA-2017-162929"/>
    <x v="123"/>
    <x v="228"/>
    <x v="2"/>
    <x v="216"/>
    <s v="Adrian Shami"/>
    <x v="2"/>
    <s v="United States"/>
    <s v="New York City"/>
    <s v="New York"/>
    <n v="10035"/>
    <x v="3"/>
    <s v="OFF-PA-10002986"/>
    <x v="1"/>
    <s v="Paper"/>
    <s v="Xerox 1898"/>
    <n v="13.36"/>
    <n v="2"/>
    <x v="0"/>
    <n v="6.4127999999999998"/>
  </r>
  <r>
    <n v="549"/>
    <s v="CA-2015-113173"/>
    <x v="219"/>
    <x v="50"/>
    <x v="0"/>
    <x v="158"/>
    <s v="Dean Katz"/>
    <x v="1"/>
    <s v="United States"/>
    <s v="Chicago"/>
    <s v="Illinois"/>
    <n v="60653"/>
    <x v="2"/>
    <s v="OFF-ST-10000604"/>
    <x v="1"/>
    <s v="Storage"/>
    <s v="Home/Office Personal File Carts"/>
    <n v="250.27199999999999"/>
    <n v="9"/>
    <x v="2"/>
    <n v="15.641999999999999"/>
  </r>
  <r>
    <n v="550"/>
    <s v="CA-2015-113173"/>
    <x v="219"/>
    <x v="50"/>
    <x v="0"/>
    <x v="158"/>
    <s v="Dean Katz"/>
    <x v="1"/>
    <s v="United States"/>
    <s v="Chicago"/>
    <s v="Illinois"/>
    <n v="60653"/>
    <x v="2"/>
    <s v="OFF-BI-10004738"/>
    <x v="1"/>
    <s v="Binders"/>
    <s v="Flexible Leather- Look Classic Collection Ring Binder"/>
    <n v="11.364000000000001"/>
    <n v="3"/>
    <x v="3"/>
    <n v="-17.045999999999999"/>
  </r>
  <r>
    <n v="551"/>
    <s v="CA-2015-113173"/>
    <x v="219"/>
    <x v="50"/>
    <x v="0"/>
    <x v="158"/>
    <s v="Dean Katz"/>
    <x v="1"/>
    <s v="United States"/>
    <s v="Chicago"/>
    <s v="Illinois"/>
    <n v="60653"/>
    <x v="2"/>
    <s v="OFF-SU-10001935"/>
    <x v="1"/>
    <s v="Supplies"/>
    <s v="Staple remover"/>
    <n v="8.7200000000000006"/>
    <n v="5"/>
    <x v="2"/>
    <n v="-1.744"/>
  </r>
  <r>
    <n v="552"/>
    <s v="CA-2016-136406"/>
    <x v="173"/>
    <x v="229"/>
    <x v="0"/>
    <x v="217"/>
    <s v="Bill Donatelli"/>
    <x v="0"/>
    <s v="United States"/>
    <s v="San Francisco"/>
    <s v="California"/>
    <n v="94110"/>
    <x v="1"/>
    <s v="FUR-CH-10002024"/>
    <x v="0"/>
    <s v="Chairs"/>
    <s v="HON 5400 Series Task Chairs for Big and Tall"/>
    <n v="1121.568"/>
    <n v="2"/>
    <x v="2"/>
    <n v="0"/>
  </r>
  <r>
    <n v="553"/>
    <s v="CA-2017-112774"/>
    <x v="220"/>
    <x v="230"/>
    <x v="2"/>
    <x v="53"/>
    <s v="Ryan Crowe"/>
    <x v="0"/>
    <s v="United States"/>
    <s v="Jacksonville"/>
    <s v="Florida"/>
    <n v="32216"/>
    <x v="0"/>
    <s v="FUR-FU-10003039"/>
    <x v="0"/>
    <s v="Furnishings"/>
    <s v="Howard Miller 11-1/2&quot; Diameter Grantwood Wall Clock"/>
    <n v="34.503999999999998"/>
    <n v="1"/>
    <x v="2"/>
    <n v="6.0381999999999998"/>
  </r>
  <r>
    <n v="554"/>
    <s v="CA-2017-101945"/>
    <x v="221"/>
    <x v="51"/>
    <x v="1"/>
    <x v="218"/>
    <s v="Greg Tran"/>
    <x v="0"/>
    <s v="United States"/>
    <s v="Houston"/>
    <s v="Texas"/>
    <n v="77070"/>
    <x v="2"/>
    <s v="OFF-FA-10004248"/>
    <x v="1"/>
    <s v="Fasteners"/>
    <s v="Advantus T-Pin Paper Clips"/>
    <n v="10.824"/>
    <n v="3"/>
    <x v="2"/>
    <n v="2.5707"/>
  </r>
  <r>
    <n v="555"/>
    <s v="CA-2017-100650"/>
    <x v="222"/>
    <x v="231"/>
    <x v="0"/>
    <x v="158"/>
    <s v="Dean Katz"/>
    <x v="1"/>
    <s v="United States"/>
    <s v="Anaheim"/>
    <s v="California"/>
    <n v="92804"/>
    <x v="1"/>
    <s v="OFF-ST-10001780"/>
    <x v="1"/>
    <s v="Storage"/>
    <s v="Tennsco 16-Compartment Lockers with Coat Rack"/>
    <n v="1295.78"/>
    <n v="2"/>
    <x v="0"/>
    <n v="310.98719999999997"/>
  </r>
  <r>
    <n v="556"/>
    <s v="CA-2014-155852"/>
    <x v="223"/>
    <x v="232"/>
    <x v="0"/>
    <x v="219"/>
    <s v="Ashley Jarboe"/>
    <x v="0"/>
    <s v="United States"/>
    <s v="Wilmington"/>
    <s v="North Carolina"/>
    <n v="28403"/>
    <x v="0"/>
    <s v="OFF-AR-10003560"/>
    <x v="1"/>
    <s v="Art"/>
    <s v="Zebra Zazzle Fluorescent Highlighters"/>
    <n v="19.456"/>
    <n v="4"/>
    <x v="2"/>
    <n v="3.4047999999999998"/>
  </r>
  <r>
    <n v="557"/>
    <s v="CA-2016-113243"/>
    <x v="224"/>
    <x v="35"/>
    <x v="1"/>
    <x v="220"/>
    <s v="Olvera Toch"/>
    <x v="0"/>
    <s v="United States"/>
    <s v="Los Angeles"/>
    <s v="California"/>
    <n v="90045"/>
    <x v="1"/>
    <s v="OFF-LA-10001297"/>
    <x v="1"/>
    <s v="Labels"/>
    <s v="Avery 473"/>
    <n v="20.7"/>
    <n v="2"/>
    <x v="0"/>
    <n v="9.9359999999999999"/>
  </r>
  <r>
    <n v="558"/>
    <s v="CA-2016-113243"/>
    <x v="224"/>
    <x v="35"/>
    <x v="1"/>
    <x v="220"/>
    <s v="Olvera Toch"/>
    <x v="0"/>
    <s v="United States"/>
    <s v="Los Angeles"/>
    <s v="California"/>
    <n v="90045"/>
    <x v="1"/>
    <s v="FUR-TA-10004256"/>
    <x v="0"/>
    <s v="Tables"/>
    <s v="Bretford “Just In Time” Height-Adjustable Multi-Task Work Tables"/>
    <n v="1335.68"/>
    <n v="4"/>
    <x v="2"/>
    <n v="-217.048"/>
  </r>
  <r>
    <n v="559"/>
    <s v="CA-2016-113243"/>
    <x v="224"/>
    <x v="35"/>
    <x v="1"/>
    <x v="220"/>
    <s v="Olvera Toch"/>
    <x v="0"/>
    <s v="United States"/>
    <s v="Los Angeles"/>
    <s v="California"/>
    <n v="90045"/>
    <x v="1"/>
    <s v="OFF-PA-10003441"/>
    <x v="1"/>
    <s v="Paper"/>
    <s v="Xerox 226"/>
    <n v="32.4"/>
    <n v="5"/>
    <x v="0"/>
    <n v="15.552"/>
  </r>
  <r>
    <n v="560"/>
    <s v="CA-2017-118731"/>
    <x v="225"/>
    <x v="228"/>
    <x v="0"/>
    <x v="221"/>
    <s v="Liz Pelletier"/>
    <x v="0"/>
    <s v="United States"/>
    <s v="San Francisco"/>
    <s v="California"/>
    <n v="94110"/>
    <x v="1"/>
    <s v="FUR-FU-10003347"/>
    <x v="0"/>
    <s v="Furnishings"/>
    <s v="Coloredge Poster Frame"/>
    <n v="42.6"/>
    <n v="3"/>
    <x v="0"/>
    <n v="16.614000000000001"/>
  </r>
  <r>
    <n v="561"/>
    <s v="CA-2017-118731"/>
    <x v="225"/>
    <x v="228"/>
    <x v="0"/>
    <x v="221"/>
    <s v="Liz Pelletier"/>
    <x v="0"/>
    <s v="United States"/>
    <s v="San Francisco"/>
    <s v="California"/>
    <n v="94110"/>
    <x v="1"/>
    <s v="OFF-BI-10000069"/>
    <x v="1"/>
    <s v="Binders"/>
    <s v="GBC Prepunched Paper, 19-Hole, for Binding Systems, 24-lb"/>
    <n v="84.055999999999997"/>
    <n v="7"/>
    <x v="2"/>
    <n v="27.318200000000001"/>
  </r>
  <r>
    <n v="562"/>
    <s v="CA-2014-145576"/>
    <x v="80"/>
    <x v="233"/>
    <x v="0"/>
    <x v="222"/>
    <s v="Cynthia Arntzen"/>
    <x v="0"/>
    <s v="United States"/>
    <s v="Tampa"/>
    <s v="Florida"/>
    <n v="33614"/>
    <x v="0"/>
    <s v="OFF-AP-10003914"/>
    <x v="1"/>
    <s v="Appliances"/>
    <s v="Sanitaire Vibra Groomer IR Commercial Upright Vacuum, Replacement Belts"/>
    <n v="13"/>
    <n v="5"/>
    <x v="2"/>
    <n v="1.3"/>
  </r>
  <r>
    <n v="563"/>
    <s v="CA-2014-145576"/>
    <x v="80"/>
    <x v="233"/>
    <x v="0"/>
    <x v="222"/>
    <s v="Cynthia Arntzen"/>
    <x v="0"/>
    <s v="United States"/>
    <s v="Tampa"/>
    <s v="Florida"/>
    <n v="33614"/>
    <x v="0"/>
    <s v="FUR-FU-10004020"/>
    <x v="0"/>
    <s v="Furnishings"/>
    <s v="Advantus Panel Wall Acrylic Frame"/>
    <n v="13.128"/>
    <n v="3"/>
    <x v="2"/>
    <n v="3.7743000000000002"/>
  </r>
  <r>
    <n v="564"/>
    <s v="CA-2015-130736"/>
    <x v="214"/>
    <x v="234"/>
    <x v="2"/>
    <x v="223"/>
    <s v="Jeremy Farry"/>
    <x v="0"/>
    <s v="United States"/>
    <s v="Seattle"/>
    <s v="Washington"/>
    <n v="98105"/>
    <x v="1"/>
    <s v="OFF-FA-10003467"/>
    <x v="1"/>
    <s v="Fasteners"/>
    <s v="Alliance Big Bands Rubber Bands, 12/Pack"/>
    <n v="3.96"/>
    <n v="2"/>
    <x v="0"/>
    <n v="0"/>
  </r>
  <r>
    <n v="565"/>
    <s v="CA-2015-130736"/>
    <x v="214"/>
    <x v="234"/>
    <x v="2"/>
    <x v="223"/>
    <s v="Jeremy Farry"/>
    <x v="0"/>
    <s v="United States"/>
    <s v="Seattle"/>
    <s v="Washington"/>
    <n v="98105"/>
    <x v="1"/>
    <s v="OFF-LA-10000634"/>
    <x v="1"/>
    <s v="Labels"/>
    <s v="Avery 509"/>
    <n v="2.61"/>
    <n v="1"/>
    <x v="0"/>
    <n v="1.2005999999999999"/>
  </r>
  <r>
    <n v="566"/>
    <s v="CA-2017-137099"/>
    <x v="226"/>
    <x v="235"/>
    <x v="2"/>
    <x v="224"/>
    <s v="Frank Preis"/>
    <x v="0"/>
    <s v="United States"/>
    <s v="Los Angeles"/>
    <s v="California"/>
    <n v="90008"/>
    <x v="1"/>
    <s v="TEC-PH-10002496"/>
    <x v="2"/>
    <s v="Phones"/>
    <s v="Cisco SPA301"/>
    <n v="374.37599999999998"/>
    <n v="3"/>
    <x v="2"/>
    <n v="46.796999999999997"/>
  </r>
  <r>
    <n v="567"/>
    <s v="CA-2017-156951"/>
    <x v="172"/>
    <x v="179"/>
    <x v="1"/>
    <x v="225"/>
    <s v="Ellis Ballard"/>
    <x v="1"/>
    <s v="United States"/>
    <s v="Seattle"/>
    <s v="Washington"/>
    <n v="98105"/>
    <x v="1"/>
    <s v="OFF-PA-10004530"/>
    <x v="1"/>
    <s v="Paper"/>
    <s v="Personal Creations Ink Jet Cards and Labels"/>
    <n v="91.84"/>
    <n v="8"/>
    <x v="0"/>
    <n v="45.001600000000003"/>
  </r>
  <r>
    <n v="568"/>
    <s v="CA-2017-156951"/>
    <x v="172"/>
    <x v="179"/>
    <x v="1"/>
    <x v="225"/>
    <s v="Ellis Ballard"/>
    <x v="1"/>
    <s v="United States"/>
    <s v="Seattle"/>
    <s v="Washington"/>
    <n v="98105"/>
    <x v="1"/>
    <s v="OFF-BI-10001107"/>
    <x v="1"/>
    <s v="Binders"/>
    <s v="GBC White Gloss Covers, Plain Front"/>
    <n v="81.087999999999994"/>
    <n v="7"/>
    <x v="2"/>
    <n v="27.3672"/>
  </r>
  <r>
    <n v="569"/>
    <s v="CA-2017-156951"/>
    <x v="172"/>
    <x v="179"/>
    <x v="1"/>
    <x v="225"/>
    <s v="Ellis Ballard"/>
    <x v="1"/>
    <s v="United States"/>
    <s v="Seattle"/>
    <s v="Washington"/>
    <n v="98105"/>
    <x v="1"/>
    <s v="OFF-PA-10004451"/>
    <x v="1"/>
    <s v="Paper"/>
    <s v="Xerox 222"/>
    <n v="19.440000000000001"/>
    <n v="3"/>
    <x v="0"/>
    <n v="9.3312000000000008"/>
  </r>
  <r>
    <n v="570"/>
    <s v="CA-2017-156951"/>
    <x v="172"/>
    <x v="179"/>
    <x v="1"/>
    <x v="225"/>
    <s v="Ellis Ballard"/>
    <x v="1"/>
    <s v="United States"/>
    <s v="Seattle"/>
    <s v="Washington"/>
    <n v="98105"/>
    <x v="1"/>
    <s v="FUR-CH-10004997"/>
    <x v="0"/>
    <s v="Chairs"/>
    <s v="Hon Every-Day Series Multi-Task Chairs"/>
    <n v="451.15199999999999"/>
    <n v="3"/>
    <x v="2"/>
    <n v="0"/>
  </r>
  <r>
    <n v="571"/>
    <s v="CA-2017-164826"/>
    <x v="116"/>
    <x v="236"/>
    <x v="1"/>
    <x v="226"/>
    <s v="Jennifer Ferguson"/>
    <x v="0"/>
    <s v="United States"/>
    <s v="New York City"/>
    <s v="New York"/>
    <n v="10024"/>
    <x v="3"/>
    <s v="OFF-LA-10001297"/>
    <x v="1"/>
    <s v="Labels"/>
    <s v="Avery 473"/>
    <n v="72.45"/>
    <n v="7"/>
    <x v="0"/>
    <n v="34.776000000000003"/>
  </r>
  <r>
    <n v="572"/>
    <s v="CA-2017-164826"/>
    <x v="116"/>
    <x v="236"/>
    <x v="1"/>
    <x v="226"/>
    <s v="Jennifer Ferguson"/>
    <x v="0"/>
    <s v="United States"/>
    <s v="New York City"/>
    <s v="New York"/>
    <n v="10024"/>
    <x v="3"/>
    <s v="OFF-FA-10000585"/>
    <x v="1"/>
    <s v="Fasteners"/>
    <s v="OIC Bulk Pack Metal Binder Clips"/>
    <n v="13.96"/>
    <n v="4"/>
    <x v="0"/>
    <n v="6.4215999999999998"/>
  </r>
  <r>
    <n v="573"/>
    <s v="CA-2017-164826"/>
    <x v="116"/>
    <x v="236"/>
    <x v="1"/>
    <x v="226"/>
    <s v="Jennifer Ferguson"/>
    <x v="0"/>
    <s v="United States"/>
    <s v="New York City"/>
    <s v="New York"/>
    <n v="10024"/>
    <x v="3"/>
    <s v="OFF-BI-10001922"/>
    <x v="1"/>
    <s v="Binders"/>
    <s v="Storex Dura Pro Binders"/>
    <n v="33.264000000000003"/>
    <n v="7"/>
    <x v="2"/>
    <n v="11.226599999999999"/>
  </r>
  <r>
    <n v="574"/>
    <s v="CA-2017-164826"/>
    <x v="116"/>
    <x v="236"/>
    <x v="1"/>
    <x v="226"/>
    <s v="Jennifer Ferguson"/>
    <x v="0"/>
    <s v="United States"/>
    <s v="New York City"/>
    <s v="New York"/>
    <n v="10024"/>
    <x v="3"/>
    <s v="TEC-PH-10000347"/>
    <x v="2"/>
    <s v="Phones"/>
    <s v="Cush Cases Heavy Duty Rugged Cover Case for Samsung Galaxy S5 - Purple"/>
    <n v="14.85"/>
    <n v="3"/>
    <x v="0"/>
    <n v="4.0095000000000001"/>
  </r>
  <r>
    <n v="575"/>
    <s v="CA-2016-127250"/>
    <x v="54"/>
    <x v="237"/>
    <x v="1"/>
    <x v="227"/>
    <s v="Sarah Foster"/>
    <x v="0"/>
    <s v="United States"/>
    <s v="Marysville"/>
    <s v="Washington"/>
    <n v="98270"/>
    <x v="1"/>
    <s v="OFF-AR-10003394"/>
    <x v="1"/>
    <s v="Art"/>
    <s v="Newell 332"/>
    <n v="8.82"/>
    <n v="3"/>
    <x v="0"/>
    <n v="2.3814000000000002"/>
  </r>
  <r>
    <n v="576"/>
    <s v="CA-2015-149713"/>
    <x v="227"/>
    <x v="238"/>
    <x v="0"/>
    <x v="228"/>
    <s v="Trudy Glocke"/>
    <x v="0"/>
    <s v="United States"/>
    <s v="Long Beach"/>
    <s v="California"/>
    <n v="90805"/>
    <x v="1"/>
    <s v="OFF-PA-10004530"/>
    <x v="1"/>
    <s v="Paper"/>
    <s v="Personal Creations Ink Jet Cards and Labels"/>
    <n v="160.72"/>
    <n v="14"/>
    <x v="0"/>
    <n v="78.752799999999993"/>
  </r>
  <r>
    <n v="577"/>
    <s v="CA-2015-149713"/>
    <x v="227"/>
    <x v="238"/>
    <x v="0"/>
    <x v="228"/>
    <s v="Trudy Glocke"/>
    <x v="0"/>
    <s v="United States"/>
    <s v="Long Beach"/>
    <s v="California"/>
    <n v="90805"/>
    <x v="1"/>
    <s v="OFF-PA-10001450"/>
    <x v="1"/>
    <s v="Paper"/>
    <s v="Rediform S.O.S. Phone Message Books"/>
    <n v="19.920000000000002"/>
    <n v="4"/>
    <x v="0"/>
    <n v="9.7607999999999997"/>
  </r>
  <r>
    <n v="578"/>
    <s v="CA-2015-149713"/>
    <x v="227"/>
    <x v="238"/>
    <x v="0"/>
    <x v="228"/>
    <s v="Trudy Glocke"/>
    <x v="0"/>
    <s v="United States"/>
    <s v="Long Beach"/>
    <s v="California"/>
    <n v="90805"/>
    <x v="1"/>
    <s v="OFF-SU-10001574"/>
    <x v="1"/>
    <s v="Supplies"/>
    <s v="Acme Value Line Scissors"/>
    <n v="7.3"/>
    <n v="2"/>
    <x v="0"/>
    <n v="2.19"/>
  </r>
  <r>
    <n v="579"/>
    <s v="CA-2017-118640"/>
    <x v="228"/>
    <x v="239"/>
    <x v="1"/>
    <x v="229"/>
    <s v="Carlos Soltero"/>
    <x v="0"/>
    <s v="United States"/>
    <s v="Chicago"/>
    <s v="Illinois"/>
    <n v="60610"/>
    <x v="2"/>
    <s v="OFF-ST-10002974"/>
    <x v="1"/>
    <s v="Storage"/>
    <s v="Trav-L-File Heavy-Duty Shuttle II, Black"/>
    <n v="69.712000000000003"/>
    <n v="2"/>
    <x v="2"/>
    <n v="8.7140000000000004"/>
  </r>
  <r>
    <n v="580"/>
    <s v="CA-2017-118640"/>
    <x v="228"/>
    <x v="239"/>
    <x v="1"/>
    <x v="229"/>
    <s v="Carlos Soltero"/>
    <x v="0"/>
    <s v="United States"/>
    <s v="Chicago"/>
    <s v="Illinois"/>
    <n v="60610"/>
    <x v="2"/>
    <s v="FUR-FU-10001475"/>
    <x v="0"/>
    <s v="Furnishings"/>
    <s v="Contract Clock, 14&quot;, Brown"/>
    <n v="8.7919999999999998"/>
    <n v="1"/>
    <x v="7"/>
    <n v="-5.7148000000000003"/>
  </r>
  <r>
    <n v="581"/>
    <s v="CA-2015-132906"/>
    <x v="229"/>
    <x v="240"/>
    <x v="1"/>
    <x v="230"/>
    <s v="Charles Crestani"/>
    <x v="0"/>
    <s v="United States"/>
    <s v="Los Angeles"/>
    <s v="California"/>
    <n v="90004"/>
    <x v="1"/>
    <s v="OFF-SU-10004498"/>
    <x v="1"/>
    <s v="Supplies"/>
    <s v="Martin-Yale Premier Letter Opener"/>
    <n v="51.52"/>
    <n v="4"/>
    <x v="0"/>
    <n v="1.5456000000000001"/>
  </r>
  <r>
    <n v="582"/>
    <s v="CA-2017-145233"/>
    <x v="96"/>
    <x v="241"/>
    <x v="1"/>
    <x v="231"/>
    <s v="Dianna Vittorini"/>
    <x v="0"/>
    <s v="United States"/>
    <s v="Denver"/>
    <s v="Colorado"/>
    <n v="80219"/>
    <x v="1"/>
    <s v="TEC-PH-10004977"/>
    <x v="2"/>
    <s v="Phones"/>
    <s v="GE 30524EE4"/>
    <n v="470.37599999999998"/>
    <n v="3"/>
    <x v="2"/>
    <n v="52.917299999999997"/>
  </r>
  <r>
    <n v="583"/>
    <s v="CA-2017-145233"/>
    <x v="96"/>
    <x v="241"/>
    <x v="1"/>
    <x v="231"/>
    <s v="Dianna Vittorini"/>
    <x v="0"/>
    <s v="United States"/>
    <s v="Denver"/>
    <s v="Colorado"/>
    <n v="80219"/>
    <x v="1"/>
    <s v="TEC-PH-10000586"/>
    <x v="2"/>
    <s v="Phones"/>
    <s v="AT&amp;T SB67148 SynJ"/>
    <n v="105.584"/>
    <n v="2"/>
    <x v="2"/>
    <n v="9.2386000000000106"/>
  </r>
  <r>
    <n v="584"/>
    <s v="CA-2017-145233"/>
    <x v="96"/>
    <x v="241"/>
    <x v="1"/>
    <x v="231"/>
    <s v="Dianna Vittorini"/>
    <x v="0"/>
    <s v="United States"/>
    <s v="Denver"/>
    <s v="Colorado"/>
    <n v="80219"/>
    <x v="1"/>
    <s v="OFF-AP-10000358"/>
    <x v="1"/>
    <s v="Appliances"/>
    <s v="Fellowes Basic Home/Office Series Surge Protectors"/>
    <n v="31.152000000000001"/>
    <n v="3"/>
    <x v="2"/>
    <n v="3.5045999999999999"/>
  </r>
  <r>
    <n v="585"/>
    <s v="CA-2017-145233"/>
    <x v="96"/>
    <x v="241"/>
    <x v="1"/>
    <x v="231"/>
    <s v="Dianna Vittorini"/>
    <x v="0"/>
    <s v="United States"/>
    <s v="Denver"/>
    <s v="Colorado"/>
    <n v="80219"/>
    <x v="1"/>
    <s v="OFF-BI-10002764"/>
    <x v="1"/>
    <s v="Binders"/>
    <s v="Recycled Pressboard Report Cover with Reinforced Top Hinge"/>
    <n v="6.7830000000000004"/>
    <n v="7"/>
    <x v="6"/>
    <n v="-4.7481"/>
  </r>
  <r>
    <n v="586"/>
    <s v="CA-2017-145233"/>
    <x v="96"/>
    <x v="241"/>
    <x v="1"/>
    <x v="231"/>
    <s v="Dianna Vittorini"/>
    <x v="0"/>
    <s v="United States"/>
    <s v="Denver"/>
    <s v="Colorado"/>
    <n v="80219"/>
    <x v="1"/>
    <s v="TEC-PH-10001254"/>
    <x v="2"/>
    <s v="Phones"/>
    <s v="Jabra BIZ 2300 Duo QD Duo Corded Headset"/>
    <n v="406.36799999999999"/>
    <n v="4"/>
    <x v="2"/>
    <n v="30.477599999999999"/>
  </r>
  <r>
    <n v="587"/>
    <s v="CA-2015-128139"/>
    <x v="230"/>
    <x v="242"/>
    <x v="1"/>
    <x v="232"/>
    <s v="Bruce Degenhardt"/>
    <x v="0"/>
    <s v="United States"/>
    <s v="Richmond"/>
    <s v="Kentucky"/>
    <n v="40475"/>
    <x v="0"/>
    <s v="FUR-CH-10003956"/>
    <x v="0"/>
    <s v="Chairs"/>
    <s v="Novimex High-Tech Fabric Mesh Task Chair"/>
    <n v="70.98"/>
    <n v="1"/>
    <x v="0"/>
    <n v="4.9686000000000003"/>
  </r>
  <r>
    <n v="588"/>
    <s v="CA-2015-128139"/>
    <x v="230"/>
    <x v="242"/>
    <x v="1"/>
    <x v="232"/>
    <s v="Bruce Degenhardt"/>
    <x v="0"/>
    <s v="United States"/>
    <s v="Richmond"/>
    <s v="Kentucky"/>
    <n v="40475"/>
    <x v="0"/>
    <s v="OFF-LA-10003930"/>
    <x v="1"/>
    <s v="Labels"/>
    <s v="Dot Matrix Printer Tape Reel Labels, White, 5000/Box"/>
    <n v="294.93"/>
    <n v="3"/>
    <x v="0"/>
    <n v="144.51570000000001"/>
  </r>
  <r>
    <n v="589"/>
    <s v="US-2016-156986"/>
    <x v="231"/>
    <x v="243"/>
    <x v="1"/>
    <x v="233"/>
    <s v="Zuschuss Carroll"/>
    <x v="0"/>
    <s v="United States"/>
    <s v="Salem"/>
    <s v="Oregon"/>
    <n v="97301"/>
    <x v="1"/>
    <s v="TEC-PH-10003800"/>
    <x v="2"/>
    <s v="Phones"/>
    <s v="i.Sound Portable Power - 8000 mAh"/>
    <n v="84.784000000000006"/>
    <n v="2"/>
    <x v="2"/>
    <n v="-20.136199999999999"/>
  </r>
  <r>
    <n v="590"/>
    <s v="US-2016-156986"/>
    <x v="231"/>
    <x v="243"/>
    <x v="1"/>
    <x v="233"/>
    <s v="Zuschuss Carroll"/>
    <x v="0"/>
    <s v="United States"/>
    <s v="Salem"/>
    <s v="Oregon"/>
    <n v="97301"/>
    <x v="1"/>
    <s v="OFF-PA-10002005"/>
    <x v="1"/>
    <s v="Paper"/>
    <s v="Xerox 225"/>
    <n v="20.736000000000001"/>
    <n v="4"/>
    <x v="2"/>
    <n v="7.2576000000000001"/>
  </r>
  <r>
    <n v="591"/>
    <s v="US-2016-156986"/>
    <x v="231"/>
    <x v="243"/>
    <x v="1"/>
    <x v="233"/>
    <s v="Zuschuss Carroll"/>
    <x v="0"/>
    <s v="United States"/>
    <s v="Salem"/>
    <s v="Oregon"/>
    <n v="97301"/>
    <x v="1"/>
    <s v="OFF-BI-10002498"/>
    <x v="1"/>
    <s v="Binders"/>
    <s v="Clear Mylar Reinforcing Strips"/>
    <n v="16.821000000000002"/>
    <n v="3"/>
    <x v="6"/>
    <n v="-12.896100000000001"/>
  </r>
  <r>
    <n v="592"/>
    <s v="US-2016-156986"/>
    <x v="231"/>
    <x v="243"/>
    <x v="1"/>
    <x v="233"/>
    <s v="Zuschuss Carroll"/>
    <x v="0"/>
    <s v="United States"/>
    <s v="Salem"/>
    <s v="Oregon"/>
    <n v="97301"/>
    <x v="1"/>
    <s v="OFF-PA-10004101"/>
    <x v="1"/>
    <s v="Paper"/>
    <s v="Xerox 1894"/>
    <n v="10.368"/>
    <n v="2"/>
    <x v="2"/>
    <n v="3.6288"/>
  </r>
  <r>
    <n v="593"/>
    <s v="CA-2014-135405"/>
    <x v="232"/>
    <x v="244"/>
    <x v="1"/>
    <x v="234"/>
    <s v="Melanie Seite"/>
    <x v="0"/>
    <s v="United States"/>
    <s v="Laredo"/>
    <s v="Texas"/>
    <n v="78041"/>
    <x v="2"/>
    <s v="OFF-AR-10004078"/>
    <x v="1"/>
    <s v="Art"/>
    <s v="Newell 312"/>
    <n v="9.3439999999999994"/>
    <n v="2"/>
    <x v="2"/>
    <n v="1.1679999999999999"/>
  </r>
  <r>
    <n v="594"/>
    <s v="CA-2014-135405"/>
    <x v="232"/>
    <x v="244"/>
    <x v="1"/>
    <x v="234"/>
    <s v="Melanie Seite"/>
    <x v="0"/>
    <s v="United States"/>
    <s v="Laredo"/>
    <s v="Texas"/>
    <n v="78041"/>
    <x v="2"/>
    <s v="TEC-AC-10001266"/>
    <x v="2"/>
    <s v="Accessories"/>
    <s v="Memorex Micro Travel Drive 8 GB"/>
    <n v="31.2"/>
    <n v="3"/>
    <x v="2"/>
    <n v="9.75"/>
  </r>
  <r>
    <n v="595"/>
    <s v="CA-2014-131450"/>
    <x v="233"/>
    <x v="245"/>
    <x v="1"/>
    <x v="235"/>
    <s v="Lena Radford"/>
    <x v="0"/>
    <s v="United States"/>
    <s v="San Diego"/>
    <s v="California"/>
    <n v="92024"/>
    <x v="1"/>
    <s v="OFF-AP-10004708"/>
    <x v="1"/>
    <s v="Appliances"/>
    <s v="Fellowes Superior 10 Outlet Split Surge Protector"/>
    <n v="76.12"/>
    <n v="2"/>
    <x v="0"/>
    <n v="22.0748"/>
  </r>
  <r>
    <n v="596"/>
    <s v="CA-2014-131450"/>
    <x v="233"/>
    <x v="245"/>
    <x v="1"/>
    <x v="235"/>
    <s v="Lena Radford"/>
    <x v="0"/>
    <s v="United States"/>
    <s v="San Diego"/>
    <s v="California"/>
    <n v="92024"/>
    <x v="1"/>
    <s v="TEC-CO-10004115"/>
    <x v="2"/>
    <s v="Copiers"/>
    <s v="Sharp AL-1530CS Digital Copier"/>
    <n v="1199.9760000000001"/>
    <n v="3"/>
    <x v="2"/>
    <n v="434.99130000000002"/>
  </r>
  <r>
    <n v="597"/>
    <s v="CA-2014-131450"/>
    <x v="233"/>
    <x v="245"/>
    <x v="1"/>
    <x v="235"/>
    <s v="Lena Radford"/>
    <x v="0"/>
    <s v="United States"/>
    <s v="San Diego"/>
    <s v="California"/>
    <n v="92024"/>
    <x v="1"/>
    <s v="TEC-PH-10002398"/>
    <x v="2"/>
    <s v="Phones"/>
    <s v="AT&amp;T 1070 Corded Phone"/>
    <n v="445.96"/>
    <n v="5"/>
    <x v="2"/>
    <n v="55.744999999999898"/>
  </r>
  <r>
    <n v="598"/>
    <s v="CA-2014-131450"/>
    <x v="233"/>
    <x v="245"/>
    <x v="1"/>
    <x v="235"/>
    <s v="Lena Radford"/>
    <x v="0"/>
    <s v="United States"/>
    <s v="San Diego"/>
    <s v="California"/>
    <n v="92024"/>
    <x v="1"/>
    <s v="FUR-FU-10001979"/>
    <x v="0"/>
    <s v="Furnishings"/>
    <s v="Dana Halogen Swing-Arm Architect Lamp"/>
    <n v="327.76"/>
    <n v="8"/>
    <x v="0"/>
    <n v="91.772800000000004"/>
  </r>
  <r>
    <n v="599"/>
    <s v="CA-2016-120180"/>
    <x v="216"/>
    <x v="220"/>
    <x v="2"/>
    <x v="236"/>
    <s v="Theone Pippenger"/>
    <x v="0"/>
    <s v="United States"/>
    <s v="Philadelphia"/>
    <s v="Pennsylvania"/>
    <n v="19134"/>
    <x v="3"/>
    <s v="OFF-SU-10004115"/>
    <x v="1"/>
    <s v="Supplies"/>
    <s v="Acme Stainless Steel Office Snips"/>
    <n v="11.632"/>
    <n v="2"/>
    <x v="2"/>
    <n v="1.0178"/>
  </r>
  <r>
    <n v="600"/>
    <s v="US-2016-100720"/>
    <x v="87"/>
    <x v="246"/>
    <x v="1"/>
    <x v="237"/>
    <s v="Chloris Kastensmidt"/>
    <x v="0"/>
    <s v="United States"/>
    <s v="Philadelphia"/>
    <s v="Pennsylvania"/>
    <n v="19120"/>
    <x v="3"/>
    <s v="TEC-PH-10001425"/>
    <x v="2"/>
    <s v="Phones"/>
    <s v="Mophie Juice Pack Helium for iPhone"/>
    <n v="143.982"/>
    <n v="3"/>
    <x v="10"/>
    <n v="-28.796399999999998"/>
  </r>
  <r>
    <n v="601"/>
    <s v="US-2016-100720"/>
    <x v="87"/>
    <x v="246"/>
    <x v="1"/>
    <x v="237"/>
    <s v="Chloris Kastensmidt"/>
    <x v="0"/>
    <s v="United States"/>
    <s v="Philadelphia"/>
    <s v="Pennsylvania"/>
    <n v="19120"/>
    <x v="3"/>
    <s v="TEC-PH-10003963"/>
    <x v="2"/>
    <s v="Phones"/>
    <s v="GE 2-Jack Phone Line Splitter"/>
    <n v="494.37599999999998"/>
    <n v="4"/>
    <x v="10"/>
    <n v="-115.3544"/>
  </r>
  <r>
    <n v="602"/>
    <s v="US-2016-100720"/>
    <x v="87"/>
    <x v="246"/>
    <x v="1"/>
    <x v="237"/>
    <s v="Chloris Kastensmidt"/>
    <x v="0"/>
    <s v="United States"/>
    <s v="Philadelphia"/>
    <s v="Pennsylvania"/>
    <n v="19120"/>
    <x v="3"/>
    <s v="OFF-SU-10001574"/>
    <x v="1"/>
    <s v="Supplies"/>
    <s v="Acme Value Line Scissors"/>
    <n v="5.84"/>
    <n v="2"/>
    <x v="2"/>
    <n v="0.73"/>
  </r>
  <r>
    <n v="603"/>
    <s v="CA-2014-149958"/>
    <x v="234"/>
    <x v="247"/>
    <x v="1"/>
    <x v="238"/>
    <s v="Alan Shonely"/>
    <x v="0"/>
    <s v="United States"/>
    <s v="Tampa"/>
    <s v="Florida"/>
    <n v="33614"/>
    <x v="0"/>
    <s v="OFF-ST-10001490"/>
    <x v="1"/>
    <s v="Storage"/>
    <s v="Hot File 7-Pocket, Floor Stand"/>
    <n v="142.77600000000001"/>
    <n v="1"/>
    <x v="2"/>
    <n v="17.847000000000001"/>
  </r>
  <r>
    <n v="604"/>
    <s v="CA-2014-149958"/>
    <x v="234"/>
    <x v="247"/>
    <x v="1"/>
    <x v="238"/>
    <s v="Alan Shonely"/>
    <x v="0"/>
    <s v="United States"/>
    <s v="Tampa"/>
    <s v="Florida"/>
    <n v="33614"/>
    <x v="0"/>
    <s v="FUR-FU-10001756"/>
    <x v="0"/>
    <s v="Furnishings"/>
    <s v="Eldon Expressions Desk Accessory, Wood Photo Frame, Mahogany"/>
    <n v="45.695999999999998"/>
    <n v="3"/>
    <x v="2"/>
    <n v="5.1407999999999898"/>
  </r>
  <r>
    <n v="605"/>
    <s v="CA-2014-149958"/>
    <x v="234"/>
    <x v="247"/>
    <x v="1"/>
    <x v="238"/>
    <s v="Alan Shonely"/>
    <x v="0"/>
    <s v="United States"/>
    <s v="Tampa"/>
    <s v="Florida"/>
    <n v="33614"/>
    <x v="0"/>
    <s v="OFF-BI-10000773"/>
    <x v="1"/>
    <s v="Binders"/>
    <s v="Insertable Tab Post Binder Dividers"/>
    <n v="7.218"/>
    <n v="3"/>
    <x v="6"/>
    <n v="-5.5338000000000003"/>
  </r>
  <r>
    <n v="606"/>
    <s v="CA-2014-149958"/>
    <x v="234"/>
    <x v="247"/>
    <x v="1"/>
    <x v="238"/>
    <s v="Alan Shonely"/>
    <x v="0"/>
    <s v="United States"/>
    <s v="Tampa"/>
    <s v="Florida"/>
    <n v="33614"/>
    <x v="0"/>
    <s v="OFF-BI-10001543"/>
    <x v="1"/>
    <s v="Binders"/>
    <s v="GBC VeloBinder Manual Binding System"/>
    <n v="43.188000000000002"/>
    <n v="4"/>
    <x v="6"/>
    <n v="-31.671199999999999"/>
  </r>
  <r>
    <n v="607"/>
    <s v="CA-2014-149958"/>
    <x v="234"/>
    <x v="247"/>
    <x v="1"/>
    <x v="238"/>
    <s v="Alan Shonely"/>
    <x v="0"/>
    <s v="United States"/>
    <s v="Tampa"/>
    <s v="Florida"/>
    <n v="33614"/>
    <x v="0"/>
    <s v="OFF-PA-10002120"/>
    <x v="1"/>
    <s v="Paper"/>
    <s v="Xerox 1889"/>
    <n v="131.904"/>
    <n v="3"/>
    <x v="2"/>
    <n v="47.815199999999997"/>
  </r>
  <r>
    <n v="608"/>
    <s v="US-2014-105767"/>
    <x v="235"/>
    <x v="248"/>
    <x v="1"/>
    <x v="239"/>
    <s v="Andrew Roberts"/>
    <x v="0"/>
    <s v="United States"/>
    <s v="Philadelphia"/>
    <s v="Pennsylvania"/>
    <n v="19134"/>
    <x v="3"/>
    <s v="OFF-BI-10000848"/>
    <x v="1"/>
    <s v="Binders"/>
    <s v="Angle-D Ring Binders"/>
    <n v="3.282"/>
    <n v="2"/>
    <x v="6"/>
    <n v="-2.6255999999999999"/>
  </r>
  <r>
    <n v="609"/>
    <s v="US-2014-105767"/>
    <x v="235"/>
    <x v="248"/>
    <x v="1"/>
    <x v="239"/>
    <s v="Andrew Roberts"/>
    <x v="0"/>
    <s v="United States"/>
    <s v="Philadelphia"/>
    <s v="Pennsylvania"/>
    <n v="19134"/>
    <x v="3"/>
    <s v="OFF-AR-10001246"/>
    <x v="1"/>
    <s v="Art"/>
    <s v="Newell 317"/>
    <n v="21.167999999999999"/>
    <n v="9"/>
    <x v="2"/>
    <n v="2.3814000000000002"/>
  </r>
  <r>
    <n v="610"/>
    <s v="US-2014-105767"/>
    <x v="235"/>
    <x v="248"/>
    <x v="1"/>
    <x v="239"/>
    <s v="Andrew Roberts"/>
    <x v="0"/>
    <s v="United States"/>
    <s v="Philadelphia"/>
    <s v="Pennsylvania"/>
    <n v="19134"/>
    <x v="3"/>
    <s v="TEC-PH-10003092"/>
    <x v="2"/>
    <s v="Phones"/>
    <s v="Motorola L804"/>
    <n v="55.188000000000002"/>
    <n v="2"/>
    <x v="10"/>
    <n v="-10.117800000000001"/>
  </r>
  <r>
    <n v="611"/>
    <s v="CA-2016-161816"/>
    <x v="236"/>
    <x v="249"/>
    <x v="2"/>
    <x v="240"/>
    <s v="Nona Balk"/>
    <x v="1"/>
    <s v="United States"/>
    <s v="Dallas"/>
    <s v="Texas"/>
    <n v="75217"/>
    <x v="2"/>
    <s v="TEC-PH-10003012"/>
    <x v="2"/>
    <s v="Phones"/>
    <s v="Nortel Meridian M3904 Professional Digital phone"/>
    <n v="369.57600000000002"/>
    <n v="3"/>
    <x v="2"/>
    <n v="41.5773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1E430-B1B9-4AC7-8F6E-6B35EB85263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24">
    <pivotField showAll="0"/>
    <pivotField showAll="0"/>
    <pivotField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items count="251">
        <item x="244"/>
        <item x="224"/>
        <item x="189"/>
        <item x="70"/>
        <item x="232"/>
        <item x="247"/>
        <item x="86"/>
        <item x="139"/>
        <item x="167"/>
        <item x="8"/>
        <item x="227"/>
        <item x="248"/>
        <item x="104"/>
        <item x="161"/>
        <item x="200"/>
        <item x="3"/>
        <item x="175"/>
        <item x="137"/>
        <item x="151"/>
        <item x="90"/>
        <item x="75"/>
        <item x="245"/>
        <item x="128"/>
        <item x="55"/>
        <item x="83"/>
        <item x="9"/>
        <item x="74"/>
        <item x="178"/>
        <item x="101"/>
        <item x="233"/>
        <item x="76"/>
        <item x="110"/>
        <item x="160"/>
        <item x="131"/>
        <item x="59"/>
        <item x="148"/>
        <item x="127"/>
        <item x="197"/>
        <item x="36"/>
        <item x="21"/>
        <item x="65"/>
        <item x="199"/>
        <item x="130"/>
        <item x="193"/>
        <item x="7"/>
        <item x="81"/>
        <item x="158"/>
        <item x="34"/>
        <item x="80"/>
        <item x="28"/>
        <item x="182"/>
        <item x="166"/>
        <item x="58"/>
        <item x="129"/>
        <item x="124"/>
        <item x="96"/>
        <item x="191"/>
        <item x="43"/>
        <item x="95"/>
        <item x="100"/>
        <item x="56"/>
        <item x="206"/>
        <item x="211"/>
        <item x="57"/>
        <item x="23"/>
        <item x="32"/>
        <item x="27"/>
        <item x="123"/>
        <item x="68"/>
        <item x="69"/>
        <item x="138"/>
        <item x="155"/>
        <item x="242"/>
        <item x="116"/>
        <item x="99"/>
        <item x="136"/>
        <item x="216"/>
        <item x="37"/>
        <item x="64"/>
        <item x="240"/>
        <item x="14"/>
        <item x="238"/>
        <item x="118"/>
        <item x="12"/>
        <item x="119"/>
        <item x="84"/>
        <item x="2"/>
        <item x="52"/>
        <item x="164"/>
        <item x="85"/>
        <item x="217"/>
        <item x="112"/>
        <item x="50"/>
        <item x="78"/>
        <item x="6"/>
        <item x="26"/>
        <item x="156"/>
        <item x="107"/>
        <item x="157"/>
        <item x="222"/>
        <item x="234"/>
        <item x="223"/>
        <item x="79"/>
        <item x="190"/>
        <item x="226"/>
        <item x="140"/>
        <item x="98"/>
        <item x="16"/>
        <item x="214"/>
        <item x="13"/>
        <item x="113"/>
        <item x="20"/>
        <item x="67"/>
        <item x="202"/>
        <item x="243"/>
        <item x="187"/>
        <item x="41"/>
        <item x="144"/>
        <item x="229"/>
        <item x="172"/>
        <item x="180"/>
        <item x="132"/>
        <item x="145"/>
        <item x="135"/>
        <item x="249"/>
        <item x="72"/>
        <item x="201"/>
        <item x="213"/>
        <item x="219"/>
        <item x="204"/>
        <item x="29"/>
        <item x="181"/>
        <item x="103"/>
        <item x="111"/>
        <item x="183"/>
        <item x="35"/>
        <item x="1"/>
        <item x="25"/>
        <item x="22"/>
        <item x="196"/>
        <item x="220"/>
        <item x="225"/>
        <item x="194"/>
        <item x="246"/>
        <item x="18"/>
        <item x="203"/>
        <item x="134"/>
        <item x="48"/>
        <item x="143"/>
        <item x="62"/>
        <item x="165"/>
        <item x="47"/>
        <item x="126"/>
        <item x="106"/>
        <item x="42"/>
        <item x="30"/>
        <item x="152"/>
        <item x="61"/>
        <item x="149"/>
        <item x="208"/>
        <item x="154"/>
        <item x="97"/>
        <item x="195"/>
        <item x="121"/>
        <item x="237"/>
        <item x="54"/>
        <item x="0"/>
        <item x="73"/>
        <item x="71"/>
        <item x="82"/>
        <item x="49"/>
        <item x="66"/>
        <item x="5"/>
        <item x="10"/>
        <item x="105"/>
        <item x="24"/>
        <item x="120"/>
        <item x="185"/>
        <item x="212"/>
        <item x="210"/>
        <item x="60"/>
        <item x="174"/>
        <item x="146"/>
        <item x="186"/>
        <item x="192"/>
        <item x="102"/>
        <item x="125"/>
        <item x="4"/>
        <item x="77"/>
        <item x="39"/>
        <item x="150"/>
        <item x="92"/>
        <item x="109"/>
        <item x="198"/>
        <item x="141"/>
        <item x="46"/>
        <item x="171"/>
        <item x="89"/>
        <item x="231"/>
        <item x="162"/>
        <item x="142"/>
        <item x="88"/>
        <item x="11"/>
        <item x="239"/>
        <item x="176"/>
        <item x="153"/>
        <item x="221"/>
        <item x="218"/>
        <item x="230"/>
        <item x="17"/>
        <item x="31"/>
        <item x="184"/>
        <item x="19"/>
        <item x="147"/>
        <item x="179"/>
        <item x="117"/>
        <item x="163"/>
        <item x="15"/>
        <item x="188"/>
        <item x="215"/>
        <item x="40"/>
        <item x="133"/>
        <item x="170"/>
        <item x="173"/>
        <item x="45"/>
        <item x="44"/>
        <item x="87"/>
        <item x="205"/>
        <item x="38"/>
        <item x="228"/>
        <item x="122"/>
        <item x="177"/>
        <item x="207"/>
        <item x="51"/>
        <item x="108"/>
        <item x="241"/>
        <item x="94"/>
        <item x="235"/>
        <item x="33"/>
        <item x="169"/>
        <item x="114"/>
        <item x="93"/>
        <item x="159"/>
        <item x="91"/>
        <item x="209"/>
        <item x="63"/>
        <item x="168"/>
        <item x="53"/>
        <item x="115"/>
        <item x="236"/>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166"/>
  </dataFields>
  <formats count="1">
    <format dxfId="5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B7CD4-41E3-4198-B8DB-58B0F930ADB2}"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2">
  <location ref="A11:C16" firstHeaderRow="0" firstDataRow="1" firstDataCol="1"/>
  <pivotFields count="24">
    <pivotField showAll="0"/>
    <pivotField showAll="0"/>
    <pivotField axis="axisRow"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items count="251">
        <item x="244"/>
        <item x="224"/>
        <item x="189"/>
        <item x="70"/>
        <item x="232"/>
        <item x="247"/>
        <item x="86"/>
        <item x="139"/>
        <item x="167"/>
        <item x="8"/>
        <item x="227"/>
        <item x="248"/>
        <item x="104"/>
        <item x="161"/>
        <item x="200"/>
        <item x="3"/>
        <item x="175"/>
        <item x="137"/>
        <item x="151"/>
        <item x="90"/>
        <item x="75"/>
        <item x="245"/>
        <item x="128"/>
        <item x="55"/>
        <item x="83"/>
        <item x="9"/>
        <item x="74"/>
        <item x="178"/>
        <item x="101"/>
        <item x="233"/>
        <item x="76"/>
        <item x="110"/>
        <item x="160"/>
        <item x="131"/>
        <item x="59"/>
        <item x="148"/>
        <item x="127"/>
        <item x="197"/>
        <item x="36"/>
        <item x="21"/>
        <item x="65"/>
        <item x="199"/>
        <item x="130"/>
        <item x="193"/>
        <item x="7"/>
        <item x="81"/>
        <item x="158"/>
        <item x="34"/>
        <item x="80"/>
        <item x="28"/>
        <item x="182"/>
        <item x="166"/>
        <item x="58"/>
        <item x="129"/>
        <item x="124"/>
        <item x="96"/>
        <item x="191"/>
        <item x="43"/>
        <item x="95"/>
        <item x="100"/>
        <item x="56"/>
        <item x="206"/>
        <item x="211"/>
        <item x="57"/>
        <item x="23"/>
        <item x="32"/>
        <item x="27"/>
        <item x="123"/>
        <item x="68"/>
        <item x="69"/>
        <item x="138"/>
        <item x="155"/>
        <item x="242"/>
        <item x="116"/>
        <item x="99"/>
        <item x="136"/>
        <item x="216"/>
        <item x="37"/>
        <item x="64"/>
        <item x="240"/>
        <item x="14"/>
        <item x="238"/>
        <item x="118"/>
        <item x="12"/>
        <item x="119"/>
        <item x="84"/>
        <item x="2"/>
        <item x="52"/>
        <item x="164"/>
        <item x="85"/>
        <item x="217"/>
        <item x="112"/>
        <item x="50"/>
        <item x="78"/>
        <item x="6"/>
        <item x="26"/>
        <item x="156"/>
        <item x="107"/>
        <item x="157"/>
        <item x="222"/>
        <item x="234"/>
        <item x="223"/>
        <item x="79"/>
        <item x="190"/>
        <item x="226"/>
        <item x="140"/>
        <item x="98"/>
        <item x="16"/>
        <item x="214"/>
        <item x="13"/>
        <item x="113"/>
        <item x="20"/>
        <item x="67"/>
        <item x="202"/>
        <item x="243"/>
        <item x="187"/>
        <item x="41"/>
        <item x="144"/>
        <item x="229"/>
        <item x="172"/>
        <item x="180"/>
        <item x="132"/>
        <item x="145"/>
        <item x="135"/>
        <item x="249"/>
        <item x="72"/>
        <item x="201"/>
        <item x="213"/>
        <item x="219"/>
        <item x="204"/>
        <item x="29"/>
        <item x="181"/>
        <item x="103"/>
        <item x="111"/>
        <item x="183"/>
        <item x="35"/>
        <item x="1"/>
        <item x="25"/>
        <item x="22"/>
        <item x="196"/>
        <item x="220"/>
        <item x="225"/>
        <item x="194"/>
        <item x="246"/>
        <item x="18"/>
        <item x="203"/>
        <item x="134"/>
        <item x="48"/>
        <item x="143"/>
        <item x="62"/>
        <item x="165"/>
        <item x="47"/>
        <item x="126"/>
        <item x="106"/>
        <item x="42"/>
        <item x="30"/>
        <item x="152"/>
        <item x="61"/>
        <item x="149"/>
        <item x="208"/>
        <item x="154"/>
        <item x="97"/>
        <item x="195"/>
        <item x="121"/>
        <item x="237"/>
        <item x="54"/>
        <item x="0"/>
        <item x="73"/>
        <item x="71"/>
        <item x="82"/>
        <item x="49"/>
        <item x="66"/>
        <item x="5"/>
        <item x="10"/>
        <item x="105"/>
        <item x="24"/>
        <item x="120"/>
        <item x="185"/>
        <item x="212"/>
        <item x="210"/>
        <item x="60"/>
        <item x="174"/>
        <item x="146"/>
        <item x="186"/>
        <item x="192"/>
        <item x="102"/>
        <item x="125"/>
        <item x="4"/>
        <item x="77"/>
        <item x="39"/>
        <item x="150"/>
        <item x="92"/>
        <item x="109"/>
        <item x="198"/>
        <item x="141"/>
        <item x="46"/>
        <item x="171"/>
        <item x="89"/>
        <item x="231"/>
        <item x="162"/>
        <item x="142"/>
        <item x="88"/>
        <item x="11"/>
        <item x="239"/>
        <item x="176"/>
        <item x="153"/>
        <item x="221"/>
        <item x="218"/>
        <item x="230"/>
        <item x="17"/>
        <item x="31"/>
        <item x="184"/>
        <item x="19"/>
        <item x="147"/>
        <item x="179"/>
        <item x="117"/>
        <item x="163"/>
        <item x="15"/>
        <item x="188"/>
        <item x="215"/>
        <item x="40"/>
        <item x="133"/>
        <item x="170"/>
        <item x="173"/>
        <item x="45"/>
        <item x="44"/>
        <item x="87"/>
        <item x="205"/>
        <item x="38"/>
        <item x="228"/>
        <item x="122"/>
        <item x="177"/>
        <item x="207"/>
        <item x="51"/>
        <item x="108"/>
        <item x="241"/>
        <item x="94"/>
        <item x="235"/>
        <item x="33"/>
        <item x="169"/>
        <item x="114"/>
        <item x="93"/>
        <item x="159"/>
        <item x="91"/>
        <item x="209"/>
        <item x="63"/>
        <item x="168"/>
        <item x="53"/>
        <item x="115"/>
        <item x="236"/>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sd="0"/>
      </items>
    </pivotField>
  </pivotFields>
  <rowFields count="2">
    <field x="23"/>
    <field x="2"/>
  </rowFields>
  <rowItems count="5">
    <i>
      <x v="1"/>
    </i>
    <i>
      <x v="2"/>
    </i>
    <i>
      <x v="3"/>
    </i>
    <i>
      <x v="4"/>
    </i>
    <i t="grand">
      <x/>
    </i>
  </rowItems>
  <colFields count="1">
    <field x="-2"/>
  </colFields>
  <colItems count="2">
    <i>
      <x/>
    </i>
    <i i="1">
      <x v="1"/>
    </i>
  </colItems>
  <dataFields count="2">
    <dataField name="Sum of Profit" fld="20" baseField="0" baseItem="0" numFmtId="2"/>
    <dataField name="Count of Region" fld="12" subtotal="count" baseField="0" baseItem="0"/>
  </dataFields>
  <formats count="1">
    <format dxfId="588">
      <pivotArea outline="0" collapsedLevelsAreSubtotals="1" fieldPosition="0">
        <references count="1">
          <reference field="4294967294" count="1" selected="0">
            <x v="0"/>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D12634-A2AA-49D4-9FEC-5B8D5AFBB72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5:B50" firstHeaderRow="1" firstDataRow="1" firstDataCol="1"/>
  <pivotFields count="24">
    <pivotField showAll="0"/>
    <pivotField showAll="0"/>
    <pivotField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items count="251">
        <item x="244"/>
        <item x="224"/>
        <item x="189"/>
        <item x="70"/>
        <item x="232"/>
        <item x="247"/>
        <item x="86"/>
        <item x="139"/>
        <item x="167"/>
        <item x="8"/>
        <item x="227"/>
        <item x="248"/>
        <item x="104"/>
        <item x="161"/>
        <item x="200"/>
        <item x="3"/>
        <item x="175"/>
        <item x="137"/>
        <item x="151"/>
        <item x="90"/>
        <item x="75"/>
        <item x="245"/>
        <item x="128"/>
        <item x="55"/>
        <item x="83"/>
        <item x="9"/>
        <item x="74"/>
        <item x="178"/>
        <item x="101"/>
        <item x="233"/>
        <item x="76"/>
        <item x="110"/>
        <item x="160"/>
        <item x="131"/>
        <item x="59"/>
        <item x="148"/>
        <item x="127"/>
        <item x="197"/>
        <item x="36"/>
        <item x="21"/>
        <item x="65"/>
        <item x="199"/>
        <item x="130"/>
        <item x="193"/>
        <item x="7"/>
        <item x="81"/>
        <item x="158"/>
        <item x="34"/>
        <item x="80"/>
        <item x="28"/>
        <item x="182"/>
        <item x="166"/>
        <item x="58"/>
        <item x="129"/>
        <item x="124"/>
        <item x="96"/>
        <item x="191"/>
        <item x="43"/>
        <item x="95"/>
        <item x="100"/>
        <item x="56"/>
        <item x="206"/>
        <item x="211"/>
        <item x="57"/>
        <item x="23"/>
        <item x="32"/>
        <item x="27"/>
        <item x="123"/>
        <item x="68"/>
        <item x="69"/>
        <item x="138"/>
        <item x="155"/>
        <item x="242"/>
        <item x="116"/>
        <item x="99"/>
        <item x="136"/>
        <item x="216"/>
        <item x="37"/>
        <item x="64"/>
        <item x="240"/>
        <item x="14"/>
        <item x="238"/>
        <item x="118"/>
        <item x="12"/>
        <item x="119"/>
        <item x="84"/>
        <item x="2"/>
        <item x="52"/>
        <item x="164"/>
        <item x="85"/>
        <item x="217"/>
        <item x="112"/>
        <item x="50"/>
        <item x="78"/>
        <item x="6"/>
        <item x="26"/>
        <item x="156"/>
        <item x="107"/>
        <item x="157"/>
        <item x="222"/>
        <item x="234"/>
        <item x="223"/>
        <item x="79"/>
        <item x="190"/>
        <item x="226"/>
        <item x="140"/>
        <item x="98"/>
        <item x="16"/>
        <item x="214"/>
        <item x="13"/>
        <item x="113"/>
        <item x="20"/>
        <item x="67"/>
        <item x="202"/>
        <item x="243"/>
        <item x="187"/>
        <item x="41"/>
        <item x="144"/>
        <item x="229"/>
        <item x="172"/>
        <item x="180"/>
        <item x="132"/>
        <item x="145"/>
        <item x="135"/>
        <item x="249"/>
        <item x="72"/>
        <item x="201"/>
        <item x="213"/>
        <item x="219"/>
        <item x="204"/>
        <item x="29"/>
        <item x="181"/>
        <item x="103"/>
        <item x="111"/>
        <item x="183"/>
        <item x="35"/>
        <item x="1"/>
        <item x="25"/>
        <item x="22"/>
        <item x="196"/>
        <item x="220"/>
        <item x="225"/>
        <item x="194"/>
        <item x="246"/>
        <item x="18"/>
        <item x="203"/>
        <item x="134"/>
        <item x="48"/>
        <item x="143"/>
        <item x="62"/>
        <item x="165"/>
        <item x="47"/>
        <item x="126"/>
        <item x="106"/>
        <item x="42"/>
        <item x="30"/>
        <item x="152"/>
        <item x="61"/>
        <item x="149"/>
        <item x="208"/>
        <item x="154"/>
        <item x="97"/>
        <item x="195"/>
        <item x="121"/>
        <item x="237"/>
        <item x="54"/>
        <item x="0"/>
        <item x="73"/>
        <item x="71"/>
        <item x="82"/>
        <item x="49"/>
        <item x="66"/>
        <item x="5"/>
        <item x="10"/>
        <item x="105"/>
        <item x="24"/>
        <item x="120"/>
        <item x="185"/>
        <item x="212"/>
        <item x="210"/>
        <item x="60"/>
        <item x="174"/>
        <item x="146"/>
        <item x="186"/>
        <item x="192"/>
        <item x="102"/>
        <item x="125"/>
        <item x="4"/>
        <item x="77"/>
        <item x="39"/>
        <item x="150"/>
        <item x="92"/>
        <item x="109"/>
        <item x="198"/>
        <item x="141"/>
        <item x="46"/>
        <item x="171"/>
        <item x="89"/>
        <item x="231"/>
        <item x="162"/>
        <item x="142"/>
        <item x="88"/>
        <item x="11"/>
        <item x="239"/>
        <item x="176"/>
        <item x="153"/>
        <item x="221"/>
        <item x="218"/>
        <item x="230"/>
        <item x="17"/>
        <item x="31"/>
        <item x="184"/>
        <item x="19"/>
        <item x="147"/>
        <item x="179"/>
        <item x="117"/>
        <item x="163"/>
        <item x="15"/>
        <item x="188"/>
        <item x="215"/>
        <item x="40"/>
        <item x="133"/>
        <item x="170"/>
        <item x="173"/>
        <item x="45"/>
        <item x="44"/>
        <item x="87"/>
        <item x="205"/>
        <item x="38"/>
        <item x="228"/>
        <item x="122"/>
        <item x="177"/>
        <item x="207"/>
        <item x="51"/>
        <item x="108"/>
        <item x="241"/>
        <item x="94"/>
        <item x="235"/>
        <item x="33"/>
        <item x="169"/>
        <item x="114"/>
        <item x="93"/>
        <item x="159"/>
        <item x="91"/>
        <item x="209"/>
        <item x="63"/>
        <item x="168"/>
        <item x="53"/>
        <item x="115"/>
        <item x="236"/>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Items count="1">
    <i/>
  </colItems>
  <dataFields count="1">
    <dataField name="Sum of Sales" fld="17" baseField="0" baseItem="0" numFmtId="166"/>
  </dataFields>
  <formats count="4">
    <format dxfId="591">
      <pivotArea collapsedLevelsAreSubtotals="1" fieldPosition="0">
        <references count="1">
          <reference field="23" count="3">
            <x v="2"/>
            <x v="3"/>
            <x v="4"/>
          </reference>
        </references>
      </pivotArea>
    </format>
    <format dxfId="590">
      <pivotArea grandRow="1" outline="0" collapsedLevelsAreSubtotals="1" fieldPosition="0"/>
    </format>
    <format dxfId="589">
      <pivotArea collapsedLevelsAreSubtotals="1" fieldPosition="0">
        <references count="1">
          <reference field="23" count="1">
            <x v="1"/>
          </reference>
        </references>
      </pivotArea>
    </format>
    <format dxfId="5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16942-C8E0-4D3F-8B92-BD488B586B4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56" firstHeaderRow="1" firstDataRow="1" firstDataCol="1"/>
  <pivotFields count="24">
    <pivotField showAll="0"/>
    <pivotField showAll="0"/>
    <pivotField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measureFilter="1">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2">
    <i>
      <x v="3"/>
    </i>
    <i t="grand">
      <x/>
    </i>
  </rowItems>
  <colItems count="1">
    <i/>
  </colItems>
  <dataFields count="1">
    <dataField name="Sum of Sales" fld="17" baseField="0" baseItem="0" numFmtId="166"/>
  </dataFields>
  <formats count="1">
    <format dxfId="552">
      <pivotArea outline="0" collapsedLevelsAreSubtotals="1" fieldPosition="0"/>
    </format>
  </formats>
  <pivotTableStyleInfo name="PivotStyleLight16" showRowHeaders="1" showColHeaders="1" showRowStripes="0" showColStripes="0" showLastColumn="1"/>
  <filters count="1">
    <filter fld="1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9E57C-1A38-4EF6-A374-4131F2F4522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9:B33" firstHeaderRow="1" firstDataRow="1" firstDataCol="1"/>
  <pivotFields count="24">
    <pivotField showAll="0"/>
    <pivotField showAll="0"/>
    <pivotField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items count="251">
        <item x="244"/>
        <item x="224"/>
        <item x="189"/>
        <item x="70"/>
        <item x="232"/>
        <item x="247"/>
        <item x="86"/>
        <item x="139"/>
        <item x="167"/>
        <item x="8"/>
        <item x="227"/>
        <item x="248"/>
        <item x="104"/>
        <item x="161"/>
        <item x="200"/>
        <item x="3"/>
        <item x="175"/>
        <item x="137"/>
        <item x="151"/>
        <item x="90"/>
        <item x="75"/>
        <item x="245"/>
        <item x="128"/>
        <item x="55"/>
        <item x="83"/>
        <item x="9"/>
        <item x="74"/>
        <item x="178"/>
        <item x="101"/>
        <item x="233"/>
        <item x="76"/>
        <item x="110"/>
        <item x="160"/>
        <item x="131"/>
        <item x="59"/>
        <item x="148"/>
        <item x="127"/>
        <item x="197"/>
        <item x="36"/>
        <item x="21"/>
        <item x="65"/>
        <item x="199"/>
        <item x="130"/>
        <item x="193"/>
        <item x="7"/>
        <item x="81"/>
        <item x="158"/>
        <item x="34"/>
        <item x="80"/>
        <item x="28"/>
        <item x="182"/>
        <item x="166"/>
        <item x="58"/>
        <item x="129"/>
        <item x="124"/>
        <item x="96"/>
        <item x="191"/>
        <item x="43"/>
        <item x="95"/>
        <item x="100"/>
        <item x="56"/>
        <item x="206"/>
        <item x="211"/>
        <item x="57"/>
        <item x="23"/>
        <item x="32"/>
        <item x="27"/>
        <item x="123"/>
        <item x="68"/>
        <item x="69"/>
        <item x="138"/>
        <item x="155"/>
        <item x="242"/>
        <item x="116"/>
        <item x="99"/>
        <item x="136"/>
        <item x="216"/>
        <item x="37"/>
        <item x="64"/>
        <item x="240"/>
        <item x="14"/>
        <item x="238"/>
        <item x="118"/>
        <item x="12"/>
        <item x="119"/>
        <item x="84"/>
        <item x="2"/>
        <item x="52"/>
        <item x="164"/>
        <item x="85"/>
        <item x="217"/>
        <item x="112"/>
        <item x="50"/>
        <item x="78"/>
        <item x="6"/>
        <item x="26"/>
        <item x="156"/>
        <item x="107"/>
        <item x="157"/>
        <item x="222"/>
        <item x="234"/>
        <item x="223"/>
        <item x="79"/>
        <item x="190"/>
        <item x="226"/>
        <item x="140"/>
        <item x="98"/>
        <item x="16"/>
        <item x="214"/>
        <item x="13"/>
        <item x="113"/>
        <item x="20"/>
        <item x="67"/>
        <item x="202"/>
        <item x="243"/>
        <item x="187"/>
        <item x="41"/>
        <item x="144"/>
        <item x="229"/>
        <item x="172"/>
        <item x="180"/>
        <item x="132"/>
        <item x="145"/>
        <item x="135"/>
        <item x="249"/>
        <item x="72"/>
        <item x="201"/>
        <item x="213"/>
        <item x="219"/>
        <item x="204"/>
        <item x="29"/>
        <item x="181"/>
        <item x="103"/>
        <item x="111"/>
        <item x="183"/>
        <item x="35"/>
        <item x="1"/>
        <item x="25"/>
        <item x="22"/>
        <item x="196"/>
        <item x="220"/>
        <item x="225"/>
        <item x="194"/>
        <item x="246"/>
        <item x="18"/>
        <item x="203"/>
        <item x="134"/>
        <item x="48"/>
        <item x="143"/>
        <item x="62"/>
        <item x="165"/>
        <item x="47"/>
        <item x="126"/>
        <item x="106"/>
        <item x="42"/>
        <item x="30"/>
        <item x="152"/>
        <item x="61"/>
        <item x="149"/>
        <item x="208"/>
        <item x="154"/>
        <item x="97"/>
        <item x="195"/>
        <item x="121"/>
        <item x="237"/>
        <item x="54"/>
        <item x="0"/>
        <item x="73"/>
        <item x="71"/>
        <item x="82"/>
        <item x="49"/>
        <item x="66"/>
        <item x="5"/>
        <item x="10"/>
        <item x="105"/>
        <item x="24"/>
        <item x="120"/>
        <item x="185"/>
        <item x="212"/>
        <item x="210"/>
        <item x="60"/>
        <item x="174"/>
        <item x="146"/>
        <item x="186"/>
        <item x="192"/>
        <item x="102"/>
        <item x="125"/>
        <item x="4"/>
        <item x="77"/>
        <item x="39"/>
        <item x="150"/>
        <item x="92"/>
        <item x="109"/>
        <item x="198"/>
        <item x="141"/>
        <item x="46"/>
        <item x="171"/>
        <item x="89"/>
        <item x="231"/>
        <item x="162"/>
        <item x="142"/>
        <item x="88"/>
        <item x="11"/>
        <item x="239"/>
        <item x="176"/>
        <item x="153"/>
        <item x="221"/>
        <item x="218"/>
        <item x="230"/>
        <item x="17"/>
        <item x="31"/>
        <item x="184"/>
        <item x="19"/>
        <item x="147"/>
        <item x="179"/>
        <item x="117"/>
        <item x="163"/>
        <item x="15"/>
        <item x="188"/>
        <item x="215"/>
        <item x="40"/>
        <item x="133"/>
        <item x="170"/>
        <item x="173"/>
        <item x="45"/>
        <item x="44"/>
        <item x="87"/>
        <item x="205"/>
        <item x="38"/>
        <item x="228"/>
        <item x="122"/>
        <item x="177"/>
        <item x="207"/>
        <item x="51"/>
        <item x="108"/>
        <item x="241"/>
        <item x="94"/>
        <item x="235"/>
        <item x="33"/>
        <item x="169"/>
        <item x="114"/>
        <item x="93"/>
        <item x="159"/>
        <item x="91"/>
        <item x="209"/>
        <item x="63"/>
        <item x="168"/>
        <item x="53"/>
        <item x="115"/>
        <item x="236"/>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166"/>
  </dataFields>
  <formats count="1">
    <format dxfId="5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7D0F6C-746D-4D76-A3E3-B2D0B87378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1" firstHeaderRow="1" firstDataRow="1" firstDataCol="1"/>
  <pivotFields count="24">
    <pivotField showAll="0"/>
    <pivotField showAll="0"/>
    <pivotField axis="axisRow"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2"/>
    <field x="2"/>
  </rowFields>
  <rowItems count="5">
    <i>
      <x v="1"/>
    </i>
    <i>
      <x v="2"/>
    </i>
    <i>
      <x v="3"/>
    </i>
    <i>
      <x v="4"/>
    </i>
    <i t="grand">
      <x/>
    </i>
  </rowItems>
  <colItems count="1">
    <i/>
  </colItems>
  <dataFields count="1">
    <dataField name="Sum of Sales" fld="17" baseField="0" baseItem="0" numFmtId="166"/>
  </dataFields>
  <formats count="1">
    <format dxfId="5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15C59C-3E26-437C-B45B-9714C30654CD}"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80:B91" firstHeaderRow="1" firstDataRow="1" firstDataCol="1"/>
  <pivotFields count="24">
    <pivotField showAll="0"/>
    <pivotField showAll="0"/>
    <pivotField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items count="251">
        <item x="244"/>
        <item x="224"/>
        <item x="189"/>
        <item x="70"/>
        <item x="232"/>
        <item x="247"/>
        <item x="86"/>
        <item x="139"/>
        <item x="167"/>
        <item x="8"/>
        <item x="227"/>
        <item x="248"/>
        <item x="104"/>
        <item x="161"/>
        <item x="200"/>
        <item x="3"/>
        <item x="175"/>
        <item x="137"/>
        <item x="151"/>
        <item x="90"/>
        <item x="75"/>
        <item x="245"/>
        <item x="128"/>
        <item x="55"/>
        <item x="83"/>
        <item x="9"/>
        <item x="74"/>
        <item x="178"/>
        <item x="101"/>
        <item x="233"/>
        <item x="76"/>
        <item x="110"/>
        <item x="160"/>
        <item x="131"/>
        <item x="59"/>
        <item x="148"/>
        <item x="127"/>
        <item x="197"/>
        <item x="36"/>
        <item x="21"/>
        <item x="65"/>
        <item x="199"/>
        <item x="130"/>
        <item x="193"/>
        <item x="7"/>
        <item x="81"/>
        <item x="158"/>
        <item x="34"/>
        <item x="80"/>
        <item x="28"/>
        <item x="182"/>
        <item x="166"/>
        <item x="58"/>
        <item x="129"/>
        <item x="124"/>
        <item x="96"/>
        <item x="191"/>
        <item x="43"/>
        <item x="95"/>
        <item x="100"/>
        <item x="56"/>
        <item x="206"/>
        <item x="211"/>
        <item x="57"/>
        <item x="23"/>
        <item x="32"/>
        <item x="27"/>
        <item x="123"/>
        <item x="68"/>
        <item x="69"/>
        <item x="138"/>
        <item x="155"/>
        <item x="242"/>
        <item x="116"/>
        <item x="99"/>
        <item x="136"/>
        <item x="216"/>
        <item x="37"/>
        <item x="64"/>
        <item x="240"/>
        <item x="14"/>
        <item x="238"/>
        <item x="118"/>
        <item x="12"/>
        <item x="119"/>
        <item x="84"/>
        <item x="2"/>
        <item x="52"/>
        <item x="164"/>
        <item x="85"/>
        <item x="217"/>
        <item x="112"/>
        <item x="50"/>
        <item x="78"/>
        <item x="6"/>
        <item x="26"/>
        <item x="156"/>
        <item x="107"/>
        <item x="157"/>
        <item x="222"/>
        <item x="234"/>
        <item x="223"/>
        <item x="79"/>
        <item x="190"/>
        <item x="226"/>
        <item x="140"/>
        <item x="98"/>
        <item x="16"/>
        <item x="214"/>
        <item x="13"/>
        <item x="113"/>
        <item x="20"/>
        <item x="67"/>
        <item x="202"/>
        <item x="243"/>
        <item x="187"/>
        <item x="41"/>
        <item x="144"/>
        <item x="229"/>
        <item x="172"/>
        <item x="180"/>
        <item x="132"/>
        <item x="145"/>
        <item x="135"/>
        <item x="249"/>
        <item x="72"/>
        <item x="201"/>
        <item x="213"/>
        <item x="219"/>
        <item x="204"/>
        <item x="29"/>
        <item x="181"/>
        <item x="103"/>
        <item x="111"/>
        <item x="183"/>
        <item x="35"/>
        <item x="1"/>
        <item x="25"/>
        <item x="22"/>
        <item x="196"/>
        <item x="220"/>
        <item x="225"/>
        <item x="194"/>
        <item x="246"/>
        <item x="18"/>
        <item x="203"/>
        <item x="134"/>
        <item x="48"/>
        <item x="143"/>
        <item x="62"/>
        <item x="165"/>
        <item x="47"/>
        <item x="126"/>
        <item x="106"/>
        <item x="42"/>
        <item x="30"/>
        <item x="152"/>
        <item x="61"/>
        <item x="149"/>
        <item x="208"/>
        <item x="154"/>
        <item x="97"/>
        <item x="195"/>
        <item x="121"/>
        <item x="237"/>
        <item x="54"/>
        <item x="0"/>
        <item x="73"/>
        <item x="71"/>
        <item x="82"/>
        <item x="49"/>
        <item x="66"/>
        <item x="5"/>
        <item x="10"/>
        <item x="105"/>
        <item x="24"/>
        <item x="120"/>
        <item x="185"/>
        <item x="212"/>
        <item x="210"/>
        <item x="60"/>
        <item x="174"/>
        <item x="146"/>
        <item x="186"/>
        <item x="192"/>
        <item x="102"/>
        <item x="125"/>
        <item x="4"/>
        <item x="77"/>
        <item x="39"/>
        <item x="150"/>
        <item x="92"/>
        <item x="109"/>
        <item x="198"/>
        <item x="141"/>
        <item x="46"/>
        <item x="171"/>
        <item x="89"/>
        <item x="231"/>
        <item x="162"/>
        <item x="142"/>
        <item x="88"/>
        <item x="11"/>
        <item x="239"/>
        <item x="176"/>
        <item x="153"/>
        <item x="221"/>
        <item x="218"/>
        <item x="230"/>
        <item x="17"/>
        <item x="31"/>
        <item x="184"/>
        <item x="19"/>
        <item x="147"/>
        <item x="179"/>
        <item x="117"/>
        <item x="163"/>
        <item x="15"/>
        <item x="188"/>
        <item x="215"/>
        <item x="40"/>
        <item x="133"/>
        <item x="170"/>
        <item x="173"/>
        <item x="45"/>
        <item x="44"/>
        <item x="87"/>
        <item x="205"/>
        <item x="38"/>
        <item x="228"/>
        <item x="122"/>
        <item x="177"/>
        <item x="207"/>
        <item x="51"/>
        <item x="108"/>
        <item x="241"/>
        <item x="94"/>
        <item x="235"/>
        <item x="33"/>
        <item x="169"/>
        <item x="114"/>
        <item x="93"/>
        <item x="159"/>
        <item x="91"/>
        <item x="209"/>
        <item x="63"/>
        <item x="168"/>
        <item x="53"/>
        <item x="115"/>
        <item x="236"/>
        <item t="default"/>
      </items>
    </pivotField>
    <pivotField showAll="0">
      <items count="5">
        <item x="2"/>
        <item x="3"/>
        <item x="0"/>
        <item x="1"/>
        <item t="default"/>
      </items>
    </pivotField>
    <pivotField axis="axisRow" showAll="0" measureFilter="1">
      <items count="242">
        <item x="211"/>
        <item x="4"/>
        <item x="144"/>
        <item x="141"/>
        <item x="57"/>
        <item x="8"/>
        <item x="122"/>
        <item x="132"/>
        <item x="165"/>
        <item x="151"/>
        <item x="124"/>
        <item x="117"/>
        <item x="219"/>
        <item x="195"/>
        <item x="87"/>
        <item x="153"/>
        <item x="239"/>
        <item x="216"/>
        <item x="127"/>
        <item x="238"/>
        <item x="155"/>
        <item x="121"/>
        <item x="179"/>
        <item x="217"/>
        <item x="214"/>
        <item x="205"/>
        <item x="232"/>
        <item x="3"/>
        <item x="78"/>
        <item x="202"/>
        <item x="162"/>
        <item x="130"/>
        <item x="29"/>
        <item x="94"/>
        <item x="119"/>
        <item x="222"/>
        <item x="90"/>
        <item x="118"/>
        <item x="230"/>
        <item x="142"/>
        <item x="113"/>
        <item x="0"/>
        <item x="170"/>
        <item x="237"/>
        <item x="52"/>
        <item x="200"/>
        <item x="128"/>
        <item x="229"/>
        <item x="79"/>
        <item x="37"/>
        <item x="51"/>
        <item x="194"/>
        <item x="72"/>
        <item x="106"/>
        <item x="203"/>
        <item x="140"/>
        <item x="137"/>
        <item x="213"/>
        <item x="54"/>
        <item x="83"/>
        <item x="158"/>
        <item x="111"/>
        <item x="114"/>
        <item x="35"/>
        <item x="157"/>
        <item x="24"/>
        <item x="112"/>
        <item x="103"/>
        <item x="1"/>
        <item x="231"/>
        <item x="108"/>
        <item x="61"/>
        <item x="105"/>
        <item x="182"/>
        <item x="225"/>
        <item x="12"/>
        <item x="13"/>
        <item x="75"/>
        <item x="191"/>
        <item x="212"/>
        <item x="45"/>
        <item x="20"/>
        <item x="135"/>
        <item x="92"/>
        <item x="86"/>
        <item x="224"/>
        <item x="55"/>
        <item x="16"/>
        <item x="136"/>
        <item x="39"/>
        <item x="218"/>
        <item x="150"/>
        <item x="47"/>
        <item x="66"/>
        <item x="96"/>
        <item x="31"/>
        <item x="6"/>
        <item x="5"/>
        <item x="80"/>
        <item x="102"/>
        <item x="209"/>
        <item x="36"/>
        <item x="63"/>
        <item x="148"/>
        <item x="188"/>
        <item x="32"/>
        <item x="68"/>
        <item x="226"/>
        <item x="223"/>
        <item x="161"/>
        <item x="189"/>
        <item x="101"/>
        <item x="98"/>
        <item x="82"/>
        <item x="145"/>
        <item x="139"/>
        <item x="49"/>
        <item x="25"/>
        <item x="123"/>
        <item x="187"/>
        <item x="40"/>
        <item x="185"/>
        <item x="208"/>
        <item x="41"/>
        <item x="10"/>
        <item x="33"/>
        <item x="110"/>
        <item x="169"/>
        <item x="30"/>
        <item x="44"/>
        <item x="168"/>
        <item x="175"/>
        <item x="120"/>
        <item x="126"/>
        <item x="107"/>
        <item x="27"/>
        <item x="147"/>
        <item x="156"/>
        <item x="48"/>
        <item x="62"/>
        <item x="18"/>
        <item x="95"/>
        <item x="97"/>
        <item x="166"/>
        <item x="23"/>
        <item x="109"/>
        <item x="215"/>
        <item x="221"/>
        <item x="235"/>
        <item x="60"/>
        <item x="201"/>
        <item x="15"/>
        <item x="93"/>
        <item x="204"/>
        <item x="198"/>
        <item x="67"/>
        <item x="207"/>
        <item x="186"/>
        <item x="77"/>
        <item x="149"/>
        <item x="177"/>
        <item x="152"/>
        <item x="88"/>
        <item x="172"/>
        <item x="234"/>
        <item x="99"/>
        <item x="192"/>
        <item x="160"/>
        <item x="199"/>
        <item x="89"/>
        <item x="240"/>
        <item x="173"/>
        <item x="159"/>
        <item x="71"/>
        <item x="134"/>
        <item x="73"/>
        <item x="125"/>
        <item x="21"/>
        <item x="220"/>
        <item x="50"/>
        <item x="171"/>
        <item x="58"/>
        <item x="38"/>
        <item x="206"/>
        <item x="7"/>
        <item x="43"/>
        <item x="138"/>
        <item x="22"/>
        <item x="178"/>
        <item x="28"/>
        <item x="19"/>
        <item x="154"/>
        <item x="181"/>
        <item x="46"/>
        <item x="42"/>
        <item x="176"/>
        <item x="116"/>
        <item x="53"/>
        <item x="76"/>
        <item x="167"/>
        <item x="210"/>
        <item x="84"/>
        <item x="197"/>
        <item x="193"/>
        <item x="115"/>
        <item x="183"/>
        <item x="56"/>
        <item x="34"/>
        <item x="174"/>
        <item x="11"/>
        <item x="227"/>
        <item x="65"/>
        <item x="64"/>
        <item x="129"/>
        <item x="81"/>
        <item x="85"/>
        <item x="17"/>
        <item x="2"/>
        <item x="70"/>
        <item x="133"/>
        <item x="164"/>
        <item x="196"/>
        <item x="26"/>
        <item x="14"/>
        <item x="180"/>
        <item x="143"/>
        <item x="228"/>
        <item x="184"/>
        <item x="236"/>
        <item x="131"/>
        <item x="59"/>
        <item x="74"/>
        <item x="69"/>
        <item x="146"/>
        <item x="104"/>
        <item x="91"/>
        <item x="163"/>
        <item x="100"/>
        <item x="190"/>
        <item x="233"/>
        <item x="9"/>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v="2"/>
    </i>
    <i>
      <x v="4"/>
    </i>
    <i>
      <x v="27"/>
    </i>
    <i>
      <x v="28"/>
    </i>
    <i>
      <x v="45"/>
    </i>
    <i>
      <x v="70"/>
    </i>
    <i>
      <x v="130"/>
    </i>
    <i>
      <x v="174"/>
    </i>
    <i>
      <x v="204"/>
    </i>
    <i>
      <x v="223"/>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C08516-EA94-4A09-8C41-929B31F5E7E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B76" firstHeaderRow="1" firstDataRow="1" firstDataCol="1"/>
  <pivotFields count="24">
    <pivotField showAll="0"/>
    <pivotField showAll="0"/>
    <pivotField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axis="axisRow" showAll="0">
      <items count="13">
        <item x="0"/>
        <item x="9"/>
        <item x="11"/>
        <item x="2"/>
        <item x="4"/>
        <item x="8"/>
        <item x="10"/>
        <item x="1"/>
        <item x="5"/>
        <item x="7"/>
        <item x="6"/>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7" baseField="0" baseItem="0" numFmtId="166"/>
  </dataFields>
  <formats count="2">
    <format dxfId="592">
      <pivotArea dataOnly="0" labelOnly="1" fieldPosition="0">
        <references count="1">
          <reference field="19" count="0"/>
        </references>
      </pivotArea>
    </format>
    <format dxfId="5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0BE904-28FF-40F9-8BC1-457F1C3ECAF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20:C24" firstHeaderRow="0" firstDataRow="1" firstDataCol="1"/>
  <pivotFields count="24">
    <pivotField showAll="0"/>
    <pivotField showAll="0"/>
    <pivotField numFmtId="164" showAll="0">
      <items count="238">
        <item x="232"/>
        <item x="215"/>
        <item x="181"/>
        <item x="72"/>
        <item x="223"/>
        <item x="234"/>
        <item x="90"/>
        <item x="138"/>
        <item x="164"/>
        <item x="218"/>
        <item x="8"/>
        <item x="235"/>
        <item x="106"/>
        <item x="159"/>
        <item x="3"/>
        <item x="169"/>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230"/>
        <item x="117"/>
        <item x="101"/>
        <item x="135"/>
        <item x="37"/>
        <item x="67"/>
        <item x="229"/>
        <item x="14"/>
        <item x="227"/>
        <item x="12"/>
        <item x="120"/>
        <item x="2"/>
        <item x="88"/>
        <item x="52"/>
        <item x="89"/>
        <item x="121"/>
        <item x="209"/>
        <item x="113"/>
        <item x="50"/>
        <item x="219"/>
        <item x="82"/>
        <item x="6"/>
        <item x="27"/>
        <item x="154"/>
        <item x="109"/>
        <item x="155"/>
        <item x="214"/>
        <item x="83"/>
        <item x="217"/>
        <item x="139"/>
        <item x="100"/>
        <item x="207"/>
        <item x="17"/>
        <item x="75"/>
        <item x="13"/>
        <item x="115"/>
        <item x="21"/>
        <item x="69"/>
        <item x="196"/>
        <item x="231"/>
        <item x="178"/>
        <item x="41"/>
        <item x="143"/>
        <item x="167"/>
        <item x="173"/>
        <item x="183"/>
        <item x="131"/>
        <item x="134"/>
        <item x="236"/>
        <item x="195"/>
        <item x="74"/>
        <item x="206"/>
        <item x="211"/>
        <item x="198"/>
        <item x="30"/>
        <item x="112"/>
        <item x="224"/>
        <item x="1"/>
        <item x="26"/>
        <item x="23"/>
        <item x="190"/>
        <item x="212"/>
        <item x="188"/>
        <item x="216"/>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222"/>
        <item x="160"/>
        <item x="91"/>
        <item x="141"/>
        <item x="11"/>
        <item x="228"/>
        <item x="170"/>
        <item x="151"/>
        <item x="213"/>
        <item x="210"/>
        <item x="18"/>
        <item x="220"/>
        <item x="32"/>
        <item x="175"/>
        <item x="118"/>
        <item x="65"/>
        <item x="20"/>
        <item x="145"/>
        <item x="172"/>
        <item x="119"/>
        <item x="161"/>
        <item x="15"/>
        <item x="179"/>
        <item x="208"/>
        <item x="40"/>
        <item x="132"/>
        <item x="60"/>
        <item x="44"/>
        <item x="45"/>
        <item x="105"/>
        <item x="38"/>
        <item x="123"/>
        <item x="225"/>
        <item x="51"/>
        <item x="221"/>
        <item x="200"/>
        <item x="96"/>
        <item x="226"/>
        <item x="166"/>
        <item x="34"/>
        <item x="157"/>
        <item x="94"/>
        <item x="202"/>
        <item x="66"/>
        <item x="165"/>
        <item x="53"/>
        <item x="116"/>
        <item t="default"/>
      </items>
    </pivotField>
    <pivotField numFmtId="164" showAll="0">
      <items count="251">
        <item x="244"/>
        <item x="224"/>
        <item x="189"/>
        <item x="70"/>
        <item x="232"/>
        <item x="247"/>
        <item x="86"/>
        <item x="139"/>
        <item x="167"/>
        <item x="8"/>
        <item x="227"/>
        <item x="248"/>
        <item x="104"/>
        <item x="161"/>
        <item x="200"/>
        <item x="3"/>
        <item x="175"/>
        <item x="137"/>
        <item x="151"/>
        <item x="90"/>
        <item x="75"/>
        <item x="245"/>
        <item x="128"/>
        <item x="55"/>
        <item x="83"/>
        <item x="9"/>
        <item x="74"/>
        <item x="178"/>
        <item x="101"/>
        <item x="233"/>
        <item x="76"/>
        <item x="110"/>
        <item x="160"/>
        <item x="131"/>
        <item x="59"/>
        <item x="148"/>
        <item x="127"/>
        <item x="197"/>
        <item x="36"/>
        <item x="21"/>
        <item x="65"/>
        <item x="199"/>
        <item x="130"/>
        <item x="193"/>
        <item x="7"/>
        <item x="81"/>
        <item x="158"/>
        <item x="34"/>
        <item x="80"/>
        <item x="28"/>
        <item x="182"/>
        <item x="166"/>
        <item x="58"/>
        <item x="129"/>
        <item x="124"/>
        <item x="96"/>
        <item x="191"/>
        <item x="43"/>
        <item x="95"/>
        <item x="100"/>
        <item x="56"/>
        <item x="206"/>
        <item x="211"/>
        <item x="57"/>
        <item x="23"/>
        <item x="32"/>
        <item x="27"/>
        <item x="123"/>
        <item x="68"/>
        <item x="69"/>
        <item x="138"/>
        <item x="155"/>
        <item x="242"/>
        <item x="116"/>
        <item x="99"/>
        <item x="136"/>
        <item x="216"/>
        <item x="37"/>
        <item x="64"/>
        <item x="240"/>
        <item x="14"/>
        <item x="238"/>
        <item x="118"/>
        <item x="12"/>
        <item x="119"/>
        <item x="84"/>
        <item x="2"/>
        <item x="52"/>
        <item x="164"/>
        <item x="85"/>
        <item x="217"/>
        <item x="112"/>
        <item x="50"/>
        <item x="78"/>
        <item x="6"/>
        <item x="26"/>
        <item x="156"/>
        <item x="107"/>
        <item x="157"/>
        <item x="222"/>
        <item x="234"/>
        <item x="223"/>
        <item x="79"/>
        <item x="190"/>
        <item x="226"/>
        <item x="140"/>
        <item x="98"/>
        <item x="16"/>
        <item x="214"/>
        <item x="13"/>
        <item x="113"/>
        <item x="20"/>
        <item x="67"/>
        <item x="202"/>
        <item x="243"/>
        <item x="187"/>
        <item x="41"/>
        <item x="144"/>
        <item x="229"/>
        <item x="172"/>
        <item x="180"/>
        <item x="132"/>
        <item x="145"/>
        <item x="135"/>
        <item x="249"/>
        <item x="72"/>
        <item x="201"/>
        <item x="213"/>
        <item x="219"/>
        <item x="204"/>
        <item x="29"/>
        <item x="181"/>
        <item x="103"/>
        <item x="111"/>
        <item x="183"/>
        <item x="35"/>
        <item x="1"/>
        <item x="25"/>
        <item x="22"/>
        <item x="196"/>
        <item x="220"/>
        <item x="225"/>
        <item x="194"/>
        <item x="246"/>
        <item x="18"/>
        <item x="203"/>
        <item x="134"/>
        <item x="48"/>
        <item x="143"/>
        <item x="62"/>
        <item x="165"/>
        <item x="47"/>
        <item x="126"/>
        <item x="106"/>
        <item x="42"/>
        <item x="30"/>
        <item x="152"/>
        <item x="61"/>
        <item x="149"/>
        <item x="208"/>
        <item x="154"/>
        <item x="97"/>
        <item x="195"/>
        <item x="121"/>
        <item x="237"/>
        <item x="54"/>
        <item x="0"/>
        <item x="73"/>
        <item x="71"/>
        <item x="82"/>
        <item x="49"/>
        <item x="66"/>
        <item x="5"/>
        <item x="10"/>
        <item x="105"/>
        <item x="24"/>
        <item x="120"/>
        <item x="185"/>
        <item x="212"/>
        <item x="210"/>
        <item x="60"/>
        <item x="174"/>
        <item x="146"/>
        <item x="186"/>
        <item x="192"/>
        <item x="102"/>
        <item x="125"/>
        <item x="4"/>
        <item x="77"/>
        <item x="39"/>
        <item x="150"/>
        <item x="92"/>
        <item x="109"/>
        <item x="198"/>
        <item x="141"/>
        <item x="46"/>
        <item x="171"/>
        <item x="89"/>
        <item x="231"/>
        <item x="162"/>
        <item x="142"/>
        <item x="88"/>
        <item x="11"/>
        <item x="239"/>
        <item x="176"/>
        <item x="153"/>
        <item x="221"/>
        <item x="218"/>
        <item x="230"/>
        <item x="17"/>
        <item x="31"/>
        <item x="184"/>
        <item x="19"/>
        <item x="147"/>
        <item x="179"/>
        <item x="117"/>
        <item x="163"/>
        <item x="15"/>
        <item x="188"/>
        <item x="215"/>
        <item x="40"/>
        <item x="133"/>
        <item x="170"/>
        <item x="173"/>
        <item x="45"/>
        <item x="44"/>
        <item x="87"/>
        <item x="205"/>
        <item x="38"/>
        <item x="228"/>
        <item x="122"/>
        <item x="177"/>
        <item x="207"/>
        <item x="51"/>
        <item x="108"/>
        <item x="241"/>
        <item x="94"/>
        <item x="235"/>
        <item x="33"/>
        <item x="169"/>
        <item x="114"/>
        <item x="93"/>
        <item x="159"/>
        <item x="91"/>
        <item x="209"/>
        <item x="63"/>
        <item x="168"/>
        <item x="53"/>
        <item x="115"/>
        <item x="236"/>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numFmtId="166"/>
    <dataField name="Sum of Profit" fld="20" baseField="0" baseItem="0" numFmtId="166"/>
  </dataFields>
  <formats count="2">
    <format dxfId="557">
      <pivotArea outline="0" collapsedLevelsAreSubtotals="1" fieldPosition="0">
        <references count="1">
          <reference field="4294967294" count="1" selected="0">
            <x v="0"/>
          </reference>
        </references>
      </pivotArea>
    </format>
    <format dxfId="556">
      <pivotArea outline="0" collapsedLevelsAreSubtotals="1" fieldPosition="0">
        <references count="1">
          <reference field="4294967294" count="1" selected="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13194BB-4C1F-411F-974B-2AFB551E5E1F}" sourceName="Segment">
  <pivotTables>
    <pivotTable tabId="3" name="PivotTable4"/>
    <pivotTable tabId="3" name="PivotTable1"/>
    <pivotTable tabId="3" name="PivotTable11"/>
    <pivotTable tabId="3" name="PivotTable2"/>
    <pivotTable tabId="3" name="PivotTable5"/>
    <pivotTable tabId="3" name="PivotTable6"/>
    <pivotTable tabId="3" name="PivotTable7"/>
    <pivotTable tabId="3" name="PivotTable8"/>
  </pivotTables>
  <data>
    <tabular pivotCacheId="4857468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FA334D-7A72-444D-A760-41507513D926}" sourceName="Category">
  <pivotTables>
    <pivotTable tabId="3" name="PivotTable3"/>
    <pivotTable tabId="3" name="PivotTable1"/>
    <pivotTable tabId="3" name="PivotTable11"/>
    <pivotTable tabId="3" name="PivotTable2"/>
    <pivotTable tabId="3" name="PivotTable4"/>
    <pivotTable tabId="3" name="PivotTable5"/>
    <pivotTable tabId="3" name="PivotTable6"/>
    <pivotTable tabId="3" name="PivotTable7"/>
    <pivotTable tabId="3" name="PivotTable8"/>
  </pivotTables>
  <data>
    <tabular pivotCacheId="4857468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8049935-42CB-467E-902C-7340787310BE}" sourceName="Ship Mode">
  <pivotTables>
    <pivotTable tabId="3" name="PivotTable1"/>
    <pivotTable tabId="3" name="PivotTable11"/>
    <pivotTable tabId="3" name="PivotTable2"/>
    <pivotTable tabId="3" name="PivotTable3"/>
    <pivotTable tabId="3" name="PivotTable4"/>
  </pivotTables>
  <data>
    <tabular pivotCacheId="48574682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C52E638-47F3-4038-999B-49E4C68E304A}" cache="Slicer_Segment" caption="Segment" style="SlicerStyleDark6" rowHeight="612000"/>
  <slicer name="Category" xr10:uid="{3E3C5380-13DC-4013-A57E-1F6A5CFD46B6}" cache="Slicer_Category" caption="Category" style="SlicerStyleDark6" rowHeight="612000"/>
  <slicer name="Ship Mode" xr10:uid="{D604E127-1280-4ECE-B281-CA37B8EC6D6C}" cache="Slicer_Ship_Mode" caption="Ship Mode" style="SlicerStyleDark6" rowHeight="57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2FE968-A05F-4E3F-9147-643E55AC1BB1}" name="Table2" displayName="Table2" ref="A95:B100" totalsRowShown="0" headerRowDxfId="587" headerRowBorderDxfId="586">
  <autoFilter ref="A95:B100" xr:uid="{352FE968-A05F-4E3F-9147-643E55AC1BB1}"/>
  <tableColumns count="2">
    <tableColumn id="1" xr3:uid="{C829CF3A-A795-431A-93FA-8666CDB3C42B}" name="Row Labels" dataDxfId="585"/>
    <tableColumn id="2" xr3:uid="{3F6239A6-EA92-4990-941B-E7C9E597ADA6}" name="Sum of Profit" dataDxfId="584"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B3CE99-E3E3-4845-B59C-25BFCD2210E6}" name="Table1" displayName="Table1" ref="A1:U612" totalsRowShown="0" headerRowDxfId="583" dataDxfId="581" headerRowBorderDxfId="582" tableBorderDxfId="580" totalsRowBorderDxfId="579">
  <autoFilter ref="A1:U612" xr:uid="{CCB3CE99-E3E3-4845-B59C-25BFCD2210E6}"/>
  <tableColumns count="21">
    <tableColumn id="1" xr3:uid="{67081567-3A54-4E24-9931-9C759E2243D9}" name="Row ID" dataDxfId="578"/>
    <tableColumn id="2" xr3:uid="{60545029-D23A-43A8-98D2-3189333683EA}" name="Order ID" dataDxfId="577"/>
    <tableColumn id="3" xr3:uid="{01F32CB0-7EFA-4519-A954-ACFBC8DFFEE0}" name="Order Date" dataDxfId="576"/>
    <tableColumn id="4" xr3:uid="{645D63D2-6D10-4F0B-B2CA-A6734D3CA532}" name="Ship Date" dataDxfId="575"/>
    <tableColumn id="5" xr3:uid="{D6D9A8C2-C49A-434E-B33E-8D286317E049}" name="Ship Mode" dataDxfId="574"/>
    <tableColumn id="6" xr3:uid="{C3915D71-417C-482A-B397-B49489EE3AF0}" name="Customer ID" dataDxfId="573"/>
    <tableColumn id="7" xr3:uid="{75862E8A-C5B7-421E-9600-96A07C88D116}" name="Customer Name" dataDxfId="572"/>
    <tableColumn id="8" xr3:uid="{E59AF2A6-BB4D-40C5-90BF-BE817EA16661}" name="Segment" dataDxfId="571"/>
    <tableColumn id="9" xr3:uid="{2DC9D97E-668A-473C-A1BF-4945CC2F2AFE}" name="Country" dataDxfId="570"/>
    <tableColumn id="10" xr3:uid="{50278903-D275-454F-8602-FCA01CD980C2}" name="City" dataDxfId="569"/>
    <tableColumn id="11" xr3:uid="{2FB09BAF-4CDE-41B6-AECB-917B8EE219C1}" name="State" dataDxfId="568"/>
    <tableColumn id="12" xr3:uid="{EAF1ED5F-83C7-4A5B-BF02-4E57652945DB}" name="Postal Code" dataDxfId="567"/>
    <tableColumn id="13" xr3:uid="{843C4130-F329-49D1-ADDF-BDC5D1721683}" name="Region" dataDxfId="566"/>
    <tableColumn id="14" xr3:uid="{071B1171-B2A2-46D2-948E-2697AA38E24E}" name="Product ID" dataDxfId="565"/>
    <tableColumn id="15" xr3:uid="{2BA7DB1D-097B-48D1-A604-AFD5C3A7F098}" name="Category" dataDxfId="564"/>
    <tableColumn id="16" xr3:uid="{EA1E1B78-CA14-49EA-A47E-6814431E7CA2}" name="Sub-Category" dataDxfId="563"/>
    <tableColumn id="17" xr3:uid="{20CC5C78-40F2-49C0-86B6-822A134740D1}" name="Product Name" dataDxfId="562"/>
    <tableColumn id="18" xr3:uid="{5DB0A9A4-2DB0-4C50-94A5-7CFCC90C8586}" name="Sales" dataDxfId="561"/>
    <tableColumn id="19" xr3:uid="{9370F4A3-87B2-4442-9D9C-1D63A122FC39}" name="Quantity" dataDxfId="560"/>
    <tableColumn id="20" xr3:uid="{97CF71BC-42D2-418D-9C0E-284A180B6A82}" name="Discount" dataDxfId="559"/>
    <tableColumn id="21" xr3:uid="{9CF5347F-2FC2-4328-9805-CFA35570223D}" name="Profit" dataDxfId="558"/>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DE7A54AB-5330-4B4A-B952-080FA7E8ED4F}" sourceName="Ship Date">
  <pivotTables>
    <pivotTable tabId="3" name="PivotTable6"/>
    <pivotTable tabId="3" name="PivotTable1"/>
    <pivotTable tabId="3" name="PivotTable11"/>
    <pivotTable tabId="3" name="PivotTable2"/>
    <pivotTable tabId="3" name="PivotTable3"/>
    <pivotTable tabId="3" name="PivotTable4"/>
  </pivotTables>
  <state minimalRefreshVersion="6" lastRefreshVersion="6" pivotCacheId="485746827"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ECE6B8C3-C23D-4ABC-80A3-304C1791C4A5}" cache="NativeTimeline_Ship_Date" caption="Ship Date" showSelectionLabel="0" showHorizontalScrollbar="0" level="0" selectionLevel="0" scrollPosition="2014-01-01T00:00:00" style="TimeSlicerStyleLight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63D4A-AB25-43B7-A545-E1FA2F4A88BE}">
  <dimension ref="A2:C100"/>
  <sheetViews>
    <sheetView tabSelected="1" zoomScale="143" workbookViewId="0">
      <selection activeCell="O5" sqref="O5"/>
    </sheetView>
  </sheetViews>
  <sheetFormatPr defaultRowHeight="14.4"/>
  <cols>
    <col min="1" max="1" width="13.5546875" bestFit="1" customWidth="1"/>
    <col min="2" max="2" width="12.21875" bestFit="1" customWidth="1"/>
    <col min="3" max="3" width="12.33203125" bestFit="1" customWidth="1"/>
  </cols>
  <sheetData>
    <row r="2" spans="1:3">
      <c r="A2" t="s">
        <v>2032</v>
      </c>
    </row>
    <row r="3" spans="1:3">
      <c r="A3" s="8" t="s">
        <v>2029</v>
      </c>
      <c r="B3" t="s">
        <v>2031</v>
      </c>
    </row>
    <row r="4" spans="1:3">
      <c r="A4" s="9" t="s">
        <v>25</v>
      </c>
      <c r="B4" s="20">
        <v>88752.353599999944</v>
      </c>
    </row>
    <row r="5" spans="1:3">
      <c r="A5" s="9" t="s">
        <v>40</v>
      </c>
      <c r="B5" s="20">
        <v>36575.870799999997</v>
      </c>
    </row>
    <row r="6" spans="1:3">
      <c r="A6" s="9" t="s">
        <v>101</v>
      </c>
      <c r="B6" s="20">
        <v>32165.349699999999</v>
      </c>
    </row>
    <row r="7" spans="1:3">
      <c r="A7" s="9" t="s">
        <v>2030</v>
      </c>
      <c r="B7" s="20">
        <v>157493.57409999994</v>
      </c>
    </row>
    <row r="8" spans="1:3">
      <c r="B8" s="18">
        <f>AVERAGE(B4:B7)</f>
        <v>78746.78704999997</v>
      </c>
    </row>
    <row r="10" spans="1:3">
      <c r="A10" s="9" t="s">
        <v>2033</v>
      </c>
    </row>
    <row r="11" spans="1:3">
      <c r="A11" s="8" t="s">
        <v>2029</v>
      </c>
      <c r="B11" t="s">
        <v>2034</v>
      </c>
      <c r="C11" t="s">
        <v>2039</v>
      </c>
    </row>
    <row r="12" spans="1:3">
      <c r="A12" s="9" t="s">
        <v>2035</v>
      </c>
      <c r="B12" s="13">
        <v>3208.8492999999985</v>
      </c>
      <c r="C12" s="19">
        <v>132</v>
      </c>
    </row>
    <row r="13" spans="1:3">
      <c r="A13" s="9" t="s">
        <v>2036</v>
      </c>
      <c r="B13" s="13">
        <v>1212.3992999999996</v>
      </c>
      <c r="C13" s="19">
        <v>132</v>
      </c>
    </row>
    <row r="14" spans="1:3">
      <c r="A14" s="9" t="s">
        <v>2037</v>
      </c>
      <c r="B14" s="13">
        <v>4003.8497999999977</v>
      </c>
      <c r="C14" s="19">
        <v>196</v>
      </c>
    </row>
    <row r="15" spans="1:3">
      <c r="A15" s="9" t="s">
        <v>2038</v>
      </c>
      <c r="B15" s="13">
        <v>3211.3320000000012</v>
      </c>
      <c r="C15" s="19">
        <v>151</v>
      </c>
    </row>
    <row r="16" spans="1:3">
      <c r="A16" s="9" t="s">
        <v>2030</v>
      </c>
      <c r="B16" s="13">
        <v>11636.430399999996</v>
      </c>
      <c r="C16" s="19">
        <v>611</v>
      </c>
    </row>
    <row r="19" spans="1:3">
      <c r="A19" s="9" t="s">
        <v>2040</v>
      </c>
    </row>
    <row r="20" spans="1:3">
      <c r="A20" s="8" t="s">
        <v>2029</v>
      </c>
      <c r="B20" t="s">
        <v>2031</v>
      </c>
      <c r="C20" t="s">
        <v>2034</v>
      </c>
    </row>
    <row r="21" spans="1:3">
      <c r="A21" s="9" t="s">
        <v>31</v>
      </c>
      <c r="B21" s="20">
        <v>51825.958099999996</v>
      </c>
      <c r="C21" s="20">
        <v>-3052.5364000000004</v>
      </c>
    </row>
    <row r="22" spans="1:3">
      <c r="A22" s="9" t="s">
        <v>45</v>
      </c>
      <c r="B22" s="20">
        <v>44263.052999999956</v>
      </c>
      <c r="C22" s="20">
        <v>7982.8190999999961</v>
      </c>
    </row>
    <row r="23" spans="1:3">
      <c r="A23" s="9" t="s">
        <v>70</v>
      </c>
      <c r="B23" s="20">
        <v>61404.563000000009</v>
      </c>
      <c r="C23" s="20">
        <v>6706.1476999999959</v>
      </c>
    </row>
    <row r="24" spans="1:3">
      <c r="A24" s="9" t="s">
        <v>2030</v>
      </c>
      <c r="B24" s="20">
        <v>157493.57409999997</v>
      </c>
      <c r="C24" s="20">
        <v>11636.430399999992</v>
      </c>
    </row>
    <row r="28" spans="1:3">
      <c r="A28" t="s">
        <v>2041</v>
      </c>
    </row>
    <row r="29" spans="1:3">
      <c r="A29" s="8" t="s">
        <v>2029</v>
      </c>
      <c r="B29" t="s">
        <v>2031</v>
      </c>
    </row>
    <row r="30" spans="1:3">
      <c r="A30" s="9" t="s">
        <v>25</v>
      </c>
      <c r="B30" s="20">
        <v>88752.353599999944</v>
      </c>
    </row>
    <row r="31" spans="1:3">
      <c r="A31" s="9" t="s">
        <v>40</v>
      </c>
      <c r="B31" s="20">
        <v>36575.870799999997</v>
      </c>
    </row>
    <row r="32" spans="1:3">
      <c r="A32" s="9" t="s">
        <v>101</v>
      </c>
      <c r="B32" s="20">
        <v>32165.349699999999</v>
      </c>
    </row>
    <row r="33" spans="1:3">
      <c r="A33" s="9" t="s">
        <v>2030</v>
      </c>
      <c r="B33" s="20">
        <v>157493.57409999994</v>
      </c>
    </row>
    <row r="35" spans="1:3">
      <c r="A35" s="9" t="s">
        <v>2046</v>
      </c>
    </row>
    <row r="36" spans="1:3">
      <c r="A36" s="8" t="s">
        <v>2029</v>
      </c>
      <c r="B36" t="s">
        <v>2031</v>
      </c>
    </row>
    <row r="37" spans="1:3">
      <c r="A37" s="9" t="s">
        <v>2042</v>
      </c>
      <c r="B37" s="20">
        <v>18131.611799999999</v>
      </c>
    </row>
    <row r="38" spans="1:3">
      <c r="A38" s="9" t="s">
        <v>2043</v>
      </c>
      <c r="B38" s="20">
        <v>30620.923499999994</v>
      </c>
    </row>
    <row r="39" spans="1:3">
      <c r="A39" s="9" t="s">
        <v>2044</v>
      </c>
      <c r="B39" s="20">
        <v>55481.081599999998</v>
      </c>
    </row>
    <row r="40" spans="1:3">
      <c r="A40" s="9" t="s">
        <v>2045</v>
      </c>
      <c r="B40" s="20">
        <v>53259.957199999975</v>
      </c>
    </row>
    <row r="41" spans="1:3">
      <c r="A41" s="9" t="s">
        <v>2030</v>
      </c>
      <c r="B41" s="20">
        <v>157493.57409999997</v>
      </c>
    </row>
    <row r="42" spans="1:3">
      <c r="A42" s="9"/>
    </row>
    <row r="44" spans="1:3">
      <c r="A44" s="9" t="s">
        <v>2047</v>
      </c>
    </row>
    <row r="45" spans="1:3">
      <c r="A45" s="8" t="s">
        <v>2029</v>
      </c>
      <c r="B45" t="s">
        <v>2031</v>
      </c>
      <c r="C45" t="s">
        <v>2050</v>
      </c>
    </row>
    <row r="46" spans="1:3">
      <c r="A46" s="9" t="s">
        <v>2035</v>
      </c>
      <c r="B46" s="20">
        <v>50689.281999999985</v>
      </c>
      <c r="C46" s="10">
        <v>0.5</v>
      </c>
    </row>
    <row r="47" spans="1:3">
      <c r="A47" s="9" t="s">
        <v>2036</v>
      </c>
      <c r="B47" s="20">
        <v>33910.713199999984</v>
      </c>
      <c r="C47" s="10">
        <v>0.34</v>
      </c>
    </row>
    <row r="48" spans="1:3">
      <c r="A48" s="9" t="s">
        <v>2037</v>
      </c>
      <c r="B48" s="20">
        <v>45545.857599999974</v>
      </c>
      <c r="C48" s="10">
        <v>0.45</v>
      </c>
    </row>
    <row r="49" spans="1:3">
      <c r="A49" s="9" t="s">
        <v>2038</v>
      </c>
      <c r="B49" s="20">
        <v>27347.72129999999</v>
      </c>
      <c r="C49" s="10">
        <v>0.27</v>
      </c>
    </row>
    <row r="50" spans="1:3">
      <c r="A50" s="9" t="s">
        <v>2030</v>
      </c>
      <c r="B50" s="20">
        <v>157493.57409999994</v>
      </c>
      <c r="C50" s="10">
        <v>1.5</v>
      </c>
    </row>
    <row r="53" spans="1:3">
      <c r="A53" s="9" t="s">
        <v>2048</v>
      </c>
    </row>
    <row r="54" spans="1:3">
      <c r="A54" s="8" t="s">
        <v>2029</v>
      </c>
      <c r="B54" t="s">
        <v>2031</v>
      </c>
    </row>
    <row r="55" spans="1:3">
      <c r="A55" s="9" t="s">
        <v>43</v>
      </c>
      <c r="B55" s="20">
        <v>52023.880999999965</v>
      </c>
    </row>
    <row r="56" spans="1:3">
      <c r="A56" s="9" t="s">
        <v>2030</v>
      </c>
      <c r="B56" s="20">
        <v>52023.880999999965</v>
      </c>
    </row>
    <row r="62" spans="1:3">
      <c r="A62" s="9" t="s">
        <v>2049</v>
      </c>
    </row>
    <row r="63" spans="1:3">
      <c r="A63" s="8" t="s">
        <v>2029</v>
      </c>
      <c r="B63" t="s">
        <v>2031</v>
      </c>
    </row>
    <row r="64" spans="1:3">
      <c r="A64" s="11">
        <v>0</v>
      </c>
      <c r="B64" s="20">
        <v>59005.139999999992</v>
      </c>
    </row>
    <row r="65" spans="1:2">
      <c r="A65" s="11">
        <v>0.1</v>
      </c>
      <c r="B65" s="20">
        <v>1151.7840000000001</v>
      </c>
    </row>
    <row r="66" spans="1:2">
      <c r="A66" s="11">
        <v>0.15</v>
      </c>
      <c r="B66" s="20">
        <v>2073.66</v>
      </c>
    </row>
    <row r="67" spans="1:2">
      <c r="A67" s="11">
        <v>0.2</v>
      </c>
      <c r="B67" s="20">
        <v>55826.415999999961</v>
      </c>
    </row>
    <row r="68" spans="1:2">
      <c r="A68" s="11">
        <v>0.3</v>
      </c>
      <c r="B68" s="20">
        <v>7264.67</v>
      </c>
    </row>
    <row r="69" spans="1:2">
      <c r="A69" s="11">
        <v>0.32</v>
      </c>
      <c r="B69" s="20">
        <v>3133.9976000000001</v>
      </c>
    </row>
    <row r="70" spans="1:2">
      <c r="A70" s="11">
        <v>0.4</v>
      </c>
      <c r="B70" s="20">
        <v>15476.261999999999</v>
      </c>
    </row>
    <row r="71" spans="1:2">
      <c r="A71" s="11">
        <v>0.45</v>
      </c>
      <c r="B71" s="20">
        <v>2187.5095000000001</v>
      </c>
    </row>
    <row r="72" spans="1:2">
      <c r="A72" s="11">
        <v>0.5</v>
      </c>
      <c r="B72" s="20">
        <v>6128.2300000000005</v>
      </c>
    </row>
    <row r="73" spans="1:2">
      <c r="A73" s="11">
        <v>0.6</v>
      </c>
      <c r="B73" s="20">
        <v>997.11999999999989</v>
      </c>
    </row>
    <row r="74" spans="1:2">
      <c r="A74" s="11">
        <v>0.7</v>
      </c>
      <c r="B74" s="20">
        <v>3670.5450000000014</v>
      </c>
    </row>
    <row r="75" spans="1:2">
      <c r="A75" s="11">
        <v>0.8</v>
      </c>
      <c r="B75" s="20">
        <v>578.24</v>
      </c>
    </row>
    <row r="76" spans="1:2">
      <c r="A76" s="9" t="s">
        <v>2030</v>
      </c>
      <c r="B76" s="20">
        <v>157493.57409999997</v>
      </c>
    </row>
    <row r="80" spans="1:2">
      <c r="A80" s="8" t="s">
        <v>2029</v>
      </c>
      <c r="B80" t="s">
        <v>2031</v>
      </c>
    </row>
    <row r="81" spans="1:2">
      <c r="A81" s="9" t="s">
        <v>1251</v>
      </c>
      <c r="B81" s="19">
        <v>4438.6859999999997</v>
      </c>
    </row>
    <row r="82" spans="1:2">
      <c r="A82" s="9" t="s">
        <v>530</v>
      </c>
      <c r="B82" s="19">
        <v>4789.9380000000001</v>
      </c>
    </row>
    <row r="83" spans="1:2">
      <c r="A83" s="9" t="s">
        <v>61</v>
      </c>
      <c r="B83" s="19">
        <v>3714.3040000000001</v>
      </c>
    </row>
    <row r="84" spans="1:2">
      <c r="A84" s="9" t="s">
        <v>677</v>
      </c>
      <c r="B84" s="19">
        <v>10539.896000000001</v>
      </c>
    </row>
    <row r="85" spans="1:2">
      <c r="A85" s="9" t="s">
        <v>1738</v>
      </c>
      <c r="B85" s="19">
        <v>6412.7699999999995</v>
      </c>
    </row>
    <row r="86" spans="1:2">
      <c r="A86" s="9" t="s">
        <v>932</v>
      </c>
      <c r="B86" s="19">
        <v>3745.63</v>
      </c>
    </row>
    <row r="87" spans="1:2">
      <c r="A87" s="9" t="s">
        <v>1434</v>
      </c>
      <c r="B87" s="19">
        <v>3955.5070000000005</v>
      </c>
    </row>
    <row r="88" spans="1:2">
      <c r="A88" s="9" t="s">
        <v>1164</v>
      </c>
      <c r="B88" s="19">
        <v>4807.3719999999994</v>
      </c>
    </row>
    <row r="89" spans="1:2">
      <c r="A89" s="9" t="s">
        <v>981</v>
      </c>
      <c r="B89" s="19">
        <v>5579.9400000000005</v>
      </c>
    </row>
    <row r="90" spans="1:2">
      <c r="A90" s="9" t="s">
        <v>163</v>
      </c>
      <c r="B90" s="19">
        <v>3761.1480000000006</v>
      </c>
    </row>
    <row r="91" spans="1:2">
      <c r="A91" s="9" t="s">
        <v>2030</v>
      </c>
      <c r="B91" s="19">
        <v>51745.191000000006</v>
      </c>
    </row>
    <row r="95" spans="1:2">
      <c r="A95" s="12" t="s">
        <v>2029</v>
      </c>
      <c r="B95" s="12" t="s">
        <v>2034</v>
      </c>
    </row>
    <row r="96" spans="1:2">
      <c r="A96" s="14" t="s">
        <v>2035</v>
      </c>
      <c r="B96" s="16">
        <v>3208.8492999999985</v>
      </c>
    </row>
    <row r="97" spans="1:2">
      <c r="A97" s="14" t="s">
        <v>2036</v>
      </c>
      <c r="B97" s="16">
        <v>1212.3992999999996</v>
      </c>
    </row>
    <row r="98" spans="1:2">
      <c r="A98" s="14" t="s">
        <v>2037</v>
      </c>
      <c r="B98" s="16">
        <v>4003.8497999999977</v>
      </c>
    </row>
    <row r="99" spans="1:2">
      <c r="A99" s="14" t="s">
        <v>2038</v>
      </c>
      <c r="B99" s="16">
        <v>3211.3320000000012</v>
      </c>
    </row>
    <row r="100" spans="1:2">
      <c r="A100" s="15" t="s">
        <v>2030</v>
      </c>
      <c r="B100" s="17">
        <v>11636.430399999996</v>
      </c>
    </row>
  </sheetData>
  <pageMargins left="0.7" right="0.7" top="0.75" bottom="0.75" header="0.3" footer="0.3"/>
  <ignoredErrors>
    <ignoredError sqref="A96:B96 A97:A99" numberStoredAsText="1"/>
  </ignoredErrors>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405B-6495-4D27-BB59-3A8FA0AEAE57}">
  <dimension ref="A1:U612"/>
  <sheetViews>
    <sheetView topLeftCell="A572" zoomScale="82" workbookViewId="0"/>
  </sheetViews>
  <sheetFormatPr defaultRowHeight="14.4"/>
  <cols>
    <col min="1" max="1" width="9.5546875" customWidth="1"/>
    <col min="2" max="2" width="10.88671875" customWidth="1"/>
    <col min="3" max="3" width="13.33203125" customWidth="1"/>
    <col min="4" max="4" width="11.88671875" customWidth="1"/>
    <col min="5" max="5" width="12.88671875" customWidth="1"/>
    <col min="6" max="6" width="14.44140625" customWidth="1"/>
    <col min="7" max="7" width="17.88671875" customWidth="1"/>
    <col min="8" max="8" width="10.88671875" customWidth="1"/>
    <col min="9" max="9" width="10.33203125" customWidth="1"/>
    <col min="12" max="12" width="14" customWidth="1"/>
    <col min="13" max="13" width="9.21875" customWidth="1"/>
    <col min="14" max="14" width="12.77734375" customWidth="1"/>
    <col min="15" max="15" width="11.109375" customWidth="1"/>
    <col min="16" max="16" width="15.21875" customWidth="1"/>
    <col min="17" max="17" width="16.21875" customWidth="1"/>
    <col min="19" max="20" width="11.109375" customWidth="1"/>
  </cols>
  <sheetData>
    <row r="1" spans="1:21" ht="15.6">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ht="15.6">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ht="15.6">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731.94</v>
      </c>
      <c r="S3" s="3">
        <v>3</v>
      </c>
      <c r="T3" s="3">
        <v>0</v>
      </c>
      <c r="U3" s="3">
        <v>219.58199999999999</v>
      </c>
    </row>
    <row r="4" spans="1:21" ht="15.6">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6.8714000000000004</v>
      </c>
    </row>
    <row r="5" spans="1:21" ht="15.6">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-383.03100000000001</v>
      </c>
    </row>
    <row r="6" spans="1:21" ht="15.6">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22.367999999999999</v>
      </c>
      <c r="S6" s="1">
        <v>2</v>
      </c>
      <c r="T6" s="1">
        <v>0.2</v>
      </c>
      <c r="U6" s="1">
        <v>2.5164</v>
      </c>
    </row>
    <row r="7" spans="1:21" ht="15.6">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14.1694</v>
      </c>
    </row>
    <row r="8" spans="1:21" ht="15.6">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v>
      </c>
    </row>
    <row r="9" spans="1:21" ht="15.6">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90.715199999999996</v>
      </c>
    </row>
    <row r="10" spans="1:21" ht="15.6">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ht="15.6">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34.47</v>
      </c>
    </row>
    <row r="12" spans="1:21" ht="15.6">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v>
      </c>
      <c r="S12" s="1">
        <v>9</v>
      </c>
      <c r="T12" s="1">
        <v>0.2</v>
      </c>
      <c r="U12" s="1">
        <v>85.309199999999805</v>
      </c>
    </row>
    <row r="13" spans="1:21" ht="15.6">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68.356800000000007</v>
      </c>
    </row>
    <row r="14" spans="1:21" ht="15.6">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v>
      </c>
      <c r="S14" s="1">
        <v>3</v>
      </c>
      <c r="T14" s="1">
        <v>0.2</v>
      </c>
      <c r="U14" s="1">
        <v>5.4432</v>
      </c>
    </row>
    <row r="15" spans="1:21" ht="15.6">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v>
      </c>
      <c r="S15" s="3">
        <v>3</v>
      </c>
      <c r="T15" s="3">
        <v>0.2</v>
      </c>
      <c r="U15" s="3">
        <v>132.59219999999999</v>
      </c>
    </row>
    <row r="16" spans="1:21" ht="15.6">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68.81</v>
      </c>
      <c r="S16" s="1">
        <v>5</v>
      </c>
      <c r="T16" s="1">
        <v>0.8</v>
      </c>
      <c r="U16" s="1">
        <v>-123.858</v>
      </c>
    </row>
    <row r="17" spans="1:21" ht="15.6">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2.544</v>
      </c>
      <c r="S17" s="3">
        <v>3</v>
      </c>
      <c r="T17" s="3">
        <v>0.8</v>
      </c>
      <c r="U17" s="3">
        <v>-3.8159999999999998</v>
      </c>
    </row>
    <row r="18" spans="1:21" ht="15.6">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13.317600000000001</v>
      </c>
    </row>
    <row r="19" spans="1:21" ht="15.6">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9.9899999999999896</v>
      </c>
    </row>
    <row r="20" spans="1:21" ht="15.6">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2.4824000000000002</v>
      </c>
    </row>
    <row r="21" spans="1:21" ht="15.6">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v>
      </c>
      <c r="S21" s="3">
        <v>3</v>
      </c>
      <c r="T21" s="3">
        <v>0.2</v>
      </c>
      <c r="U21" s="3">
        <v>16.010999999999999</v>
      </c>
    </row>
    <row r="22" spans="1:21" ht="15.6">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7.3840000000000003</v>
      </c>
    </row>
    <row r="23" spans="1:21" ht="15.6">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19.46</v>
      </c>
      <c r="S23" s="3">
        <v>7</v>
      </c>
      <c r="T23" s="3">
        <v>0</v>
      </c>
      <c r="U23" s="3">
        <v>5.0595999999999997</v>
      </c>
    </row>
    <row r="24" spans="1:21" ht="15.6">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60.34</v>
      </c>
      <c r="S24" s="1">
        <v>7</v>
      </c>
      <c r="T24" s="1">
        <v>0</v>
      </c>
      <c r="U24" s="1">
        <v>15.6884</v>
      </c>
    </row>
    <row r="25" spans="1:21" ht="15.6">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71.372</v>
      </c>
      <c r="S25" s="3">
        <v>2</v>
      </c>
      <c r="T25" s="3">
        <v>0.3</v>
      </c>
      <c r="U25" s="3">
        <v>-1.0196000000000001</v>
      </c>
    </row>
    <row r="26" spans="1:21" ht="15.6">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1044.6300000000001</v>
      </c>
      <c r="S26" s="1">
        <v>3</v>
      </c>
      <c r="T26" s="1">
        <v>0</v>
      </c>
      <c r="U26" s="1">
        <v>240.26490000000001</v>
      </c>
    </row>
    <row r="27" spans="1:21" ht="15.6">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v>
      </c>
      <c r="S27" s="3">
        <v>2</v>
      </c>
      <c r="T27" s="3">
        <v>0.2</v>
      </c>
      <c r="U27" s="3">
        <v>4.2224000000000004</v>
      </c>
    </row>
    <row r="28" spans="1:21" ht="15.6">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v>
      </c>
      <c r="S28" s="1">
        <v>3</v>
      </c>
      <c r="T28" s="1">
        <v>0</v>
      </c>
      <c r="U28" s="1">
        <v>11.774100000000001</v>
      </c>
    </row>
    <row r="29" spans="1:21" ht="15.6">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v>
      </c>
      <c r="S29" s="3">
        <v>7</v>
      </c>
      <c r="T29" s="3">
        <v>0.5</v>
      </c>
      <c r="U29" s="3">
        <v>-1665.0522000000001</v>
      </c>
    </row>
    <row r="30" spans="1:21" ht="15.6">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9.6180000000000003</v>
      </c>
      <c r="S30" s="1">
        <v>2</v>
      </c>
      <c r="T30" s="1">
        <v>0.7</v>
      </c>
      <c r="U30" s="1">
        <v>-7.0532000000000004</v>
      </c>
    </row>
    <row r="31" spans="1:21" ht="15.6">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v>
      </c>
      <c r="S31" s="3">
        <v>3</v>
      </c>
      <c r="T31" s="3">
        <v>0.2</v>
      </c>
      <c r="U31" s="3">
        <v>15.525</v>
      </c>
    </row>
    <row r="32" spans="1:21" ht="15.6">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3.2639999999999998</v>
      </c>
      <c r="S32" s="1">
        <v>2</v>
      </c>
      <c r="T32" s="1">
        <v>0.2</v>
      </c>
      <c r="U32" s="1">
        <v>1.1015999999999999</v>
      </c>
    </row>
    <row r="33" spans="1:21" ht="15.6">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9.7091999999999903</v>
      </c>
    </row>
    <row r="34" spans="1:21" ht="15.6">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6.8579999999999997</v>
      </c>
      <c r="S34" s="1">
        <v>6</v>
      </c>
      <c r="T34" s="1">
        <v>0.7</v>
      </c>
      <c r="U34" s="1">
        <v>-5.7149999999999999</v>
      </c>
    </row>
    <row r="35" spans="1:21" ht="15.6">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3.5459999999999998</v>
      </c>
    </row>
    <row r="36" spans="1:21" ht="15.6">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9.9467999999999996</v>
      </c>
    </row>
    <row r="37" spans="1:21" ht="15.6">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1097.5440000000001</v>
      </c>
      <c r="S37" s="3">
        <v>7</v>
      </c>
      <c r="T37" s="3">
        <v>0.2</v>
      </c>
      <c r="U37" s="3">
        <v>123.47369999999999</v>
      </c>
    </row>
    <row r="38" spans="1:21" ht="15.6">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-147.96299999999999</v>
      </c>
    </row>
    <row r="39" spans="1:21" ht="15.6">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ht="15.6">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-46.976399999999998</v>
      </c>
    </row>
    <row r="41" spans="1:21" ht="15.6">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-15.147</v>
      </c>
    </row>
    <row r="42" spans="1:21" ht="15.6">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41.756399999999999</v>
      </c>
    </row>
    <row r="43" spans="1:21" ht="15.6">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16.5564</v>
      </c>
    </row>
    <row r="44" spans="1:21" ht="15.6">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3.8939999999999899</v>
      </c>
    </row>
    <row r="45" spans="1:21" ht="15.6">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ht="15.6">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ht="15.6">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8.2062000000000008</v>
      </c>
    </row>
    <row r="48" spans="1:21" ht="15.6">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8.4783999999999899</v>
      </c>
    </row>
    <row r="49" spans="1:21" ht="15.6">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v>
      </c>
    </row>
    <row r="50" spans="1:21" ht="15.6">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6.1040000000000001</v>
      </c>
    </row>
    <row r="51" spans="1:21" ht="15.6">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row>
    <row r="52" spans="1:21" ht="15.6">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75.180000000000007</v>
      </c>
      <c r="S52" s="1">
        <v>6</v>
      </c>
      <c r="T52" s="1">
        <v>0</v>
      </c>
      <c r="U52" s="1">
        <v>35.334600000000002</v>
      </c>
    </row>
    <row r="53" spans="1:21" ht="15.6">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row>
    <row r="54" spans="1:21" ht="15.6">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17.098099999999999</v>
      </c>
    </row>
    <row r="55" spans="1:21" ht="15.6">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v>
      </c>
      <c r="S55" s="3">
        <v>7</v>
      </c>
      <c r="T55" s="3">
        <v>0</v>
      </c>
      <c r="U55" s="3">
        <v>6.2565999999999997</v>
      </c>
    </row>
    <row r="56" spans="1:21" ht="15.6">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ht="15.6">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52.14</v>
      </c>
    </row>
    <row r="58" spans="1:21" ht="15.6">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v>
      </c>
      <c r="S58" s="1">
        <v>5</v>
      </c>
      <c r="T58" s="1">
        <v>0</v>
      </c>
      <c r="U58" s="1">
        <v>15.552</v>
      </c>
    </row>
    <row r="59" spans="1:21" ht="15.6">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7.0980000000000096</v>
      </c>
    </row>
    <row r="60" spans="1:21" ht="15.6">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ht="15.6">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v>
      </c>
    </row>
    <row r="62" spans="1:21" ht="15.6">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v>
      </c>
      <c r="S62" s="1">
        <v>4</v>
      </c>
      <c r="T62" s="1">
        <v>0.2</v>
      </c>
      <c r="U62" s="1">
        <v>16.361999999999998</v>
      </c>
    </row>
    <row r="63" spans="1:21" ht="15.6">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row>
    <row r="64" spans="1:21" ht="15.6">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6.1512000000000002</v>
      </c>
    </row>
    <row r="65" spans="1:21" ht="15.6">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row>
    <row r="66" spans="1:21" ht="15.6">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ht="15.6">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22.332799999999999</v>
      </c>
    </row>
    <row r="68" spans="1:21" ht="15.6">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213.11500000000001</v>
      </c>
      <c r="S68" s="1">
        <v>5</v>
      </c>
      <c r="T68" s="1">
        <v>0.3</v>
      </c>
      <c r="U68" s="1">
        <v>-15.2225</v>
      </c>
    </row>
    <row r="69" spans="1:21" ht="15.6">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1113.0239999999999</v>
      </c>
      <c r="S69" s="3">
        <v>8</v>
      </c>
      <c r="T69" s="3">
        <v>0.2</v>
      </c>
      <c r="U69" s="3">
        <v>111.30240000000001</v>
      </c>
    </row>
    <row r="70" spans="1:21" ht="15.6">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167.96799999999999</v>
      </c>
      <c r="S70" s="1">
        <v>4</v>
      </c>
      <c r="T70" s="1">
        <v>0.2</v>
      </c>
      <c r="U70" s="1">
        <v>62.988</v>
      </c>
    </row>
    <row r="71" spans="1:21" ht="15.6">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35.663600000000002</v>
      </c>
    </row>
    <row r="72" spans="1:21" ht="15.6">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1.7310000000000001</v>
      </c>
    </row>
    <row r="73" spans="1:21" ht="15.6">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19.05</v>
      </c>
      <c r="S73" s="3">
        <v>3</v>
      </c>
      <c r="T73" s="3">
        <v>0</v>
      </c>
      <c r="U73" s="3">
        <v>8.7629999999999999</v>
      </c>
    </row>
    <row r="74" spans="1:21" ht="15.6">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831.93600000000004</v>
      </c>
      <c r="S74" s="1">
        <v>8</v>
      </c>
      <c r="T74" s="1">
        <v>0.2</v>
      </c>
      <c r="U74" s="1">
        <v>-114.3912</v>
      </c>
    </row>
    <row r="75" spans="1:21" ht="15.6">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1.2130000000000001</v>
      </c>
    </row>
    <row r="76" spans="1:21" ht="15.6">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ht="15.6">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1.248</v>
      </c>
      <c r="S77" s="3">
        <v>3</v>
      </c>
      <c r="T77" s="3">
        <v>0.8</v>
      </c>
      <c r="U77" s="3">
        <v>-1.9343999999999999</v>
      </c>
    </row>
    <row r="78" spans="1:21" ht="15.6">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-5.8247999999999998</v>
      </c>
    </row>
    <row r="79" spans="1:21" ht="15.6">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v>
      </c>
      <c r="S79" s="3">
        <v>3</v>
      </c>
      <c r="T79" s="3">
        <v>0.2</v>
      </c>
      <c r="U79" s="3">
        <v>2.7240000000000002</v>
      </c>
    </row>
    <row r="80" spans="1:21" ht="15.6">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v>
      </c>
    </row>
    <row r="81" spans="1:21" ht="15.6">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56.203200000000002</v>
      </c>
    </row>
    <row r="82" spans="1:21" ht="15.6">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16.739999999999998</v>
      </c>
      <c r="S82" s="1">
        <v>3</v>
      </c>
      <c r="T82" s="1">
        <v>0</v>
      </c>
      <c r="U82" s="1">
        <v>8.0351999999999997</v>
      </c>
    </row>
    <row r="83" spans="1:21" ht="15.6">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4.1719999999999997</v>
      </c>
    </row>
    <row r="84" spans="1:21" ht="15.6">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6.2031000000000001</v>
      </c>
    </row>
    <row r="85" spans="1:21" ht="15.6">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200.98400000000001</v>
      </c>
      <c r="S85" s="3">
        <v>7</v>
      </c>
      <c r="T85" s="3">
        <v>0.2</v>
      </c>
      <c r="U85" s="3">
        <v>62.807499999999997</v>
      </c>
    </row>
    <row r="86" spans="1:21" ht="15.6">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ht="15.6">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33.215600000000002</v>
      </c>
    </row>
    <row r="88" spans="1:21" ht="15.6">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6.7965999999999998</v>
      </c>
    </row>
    <row r="89" spans="1:21" ht="15.6">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row>
    <row r="90" spans="1:21" ht="15.6">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158.36799999999999</v>
      </c>
      <c r="S90" s="1">
        <v>7</v>
      </c>
      <c r="T90" s="1">
        <v>0.2</v>
      </c>
      <c r="U90" s="1">
        <v>13.857200000000001</v>
      </c>
    </row>
    <row r="91" spans="1:21" ht="15.6">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6.633</v>
      </c>
    </row>
    <row r="92" spans="1:21" ht="15.6">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8.2782</v>
      </c>
    </row>
    <row r="93" spans="1:21" ht="15.6">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3.1103999999999998</v>
      </c>
    </row>
    <row r="94" spans="1:21" ht="15.6">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6.2207999999999997</v>
      </c>
    </row>
    <row r="95" spans="1:21" ht="15.6">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16.535399999999999</v>
      </c>
    </row>
    <row r="96" spans="1:21" ht="15.6">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ht="15.6">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5.6820000000000004</v>
      </c>
      <c r="S97" s="3">
        <v>1</v>
      </c>
      <c r="T97" s="3">
        <v>0.7</v>
      </c>
      <c r="U97" s="3">
        <v>-3.7879999999999998</v>
      </c>
    </row>
    <row r="98" spans="1:21" ht="15.6">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ht="15.6">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row>
    <row r="100" spans="1:21" ht="15.6">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22.5852</v>
      </c>
    </row>
    <row r="101" spans="1:21" ht="15.6">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22.618400000000001</v>
      </c>
    </row>
    <row r="102" spans="1:21" ht="15.6">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95.975999999999999</v>
      </c>
      <c r="S102" s="1">
        <v>3</v>
      </c>
      <c r="T102" s="1">
        <v>0.2</v>
      </c>
      <c r="U102" s="1">
        <v>-10.7973</v>
      </c>
    </row>
    <row r="103" spans="1:21" ht="15.6">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1.788</v>
      </c>
      <c r="S103" s="3">
        <v>3</v>
      </c>
      <c r="T103" s="3">
        <v>0.8</v>
      </c>
      <c r="U103" s="3">
        <v>-3.0396000000000001</v>
      </c>
    </row>
    <row r="104" spans="1:21" ht="15.6">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ht="15.6">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238.89599999999999</v>
      </c>
      <c r="S105" s="3">
        <v>6</v>
      </c>
      <c r="T105" s="3">
        <v>0.2</v>
      </c>
      <c r="U105" s="3">
        <v>-26.875800000000002</v>
      </c>
    </row>
    <row r="106" spans="1:21" ht="15.6">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102.36</v>
      </c>
      <c r="S106" s="1">
        <v>3</v>
      </c>
      <c r="T106" s="1">
        <v>0.2</v>
      </c>
      <c r="U106" s="1">
        <v>-3.83850000000001</v>
      </c>
    </row>
    <row r="107" spans="1:21" ht="15.6">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36.881999999999998</v>
      </c>
      <c r="S107" s="3">
        <v>3</v>
      </c>
      <c r="T107" s="3">
        <v>0.7</v>
      </c>
      <c r="U107" s="3">
        <v>-25.817399999999999</v>
      </c>
    </row>
    <row r="108" spans="1:21" ht="15.6">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74.111999999999995</v>
      </c>
      <c r="S108" s="1">
        <v>8</v>
      </c>
      <c r="T108" s="1">
        <v>0.2</v>
      </c>
      <c r="U108" s="1">
        <v>17.601600000000001</v>
      </c>
    </row>
    <row r="109" spans="1:21" ht="15.6">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27.992000000000001</v>
      </c>
      <c r="S109" s="3">
        <v>1</v>
      </c>
      <c r="T109" s="3">
        <v>0.2</v>
      </c>
      <c r="U109" s="3">
        <v>2.0994000000000002</v>
      </c>
    </row>
    <row r="110" spans="1:21" ht="15.6">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3.3039999999999998</v>
      </c>
      <c r="S110" s="1">
        <v>1</v>
      </c>
      <c r="T110" s="1">
        <v>0.2</v>
      </c>
      <c r="U110" s="1">
        <v>1.0738000000000001</v>
      </c>
    </row>
    <row r="111" spans="1:21" ht="15.6">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v>
      </c>
      <c r="S111" s="3">
        <v>5</v>
      </c>
      <c r="T111" s="3">
        <v>0.2</v>
      </c>
      <c r="U111" s="3">
        <v>67.992000000000004</v>
      </c>
    </row>
    <row r="112" spans="1:21" ht="15.6">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10.909599999999999</v>
      </c>
    </row>
    <row r="113" spans="1:21" ht="15.6">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22.788</v>
      </c>
    </row>
    <row r="114" spans="1:21" ht="15.6">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v>
      </c>
      <c r="S114" s="1">
        <v>6</v>
      </c>
      <c r="T114" s="1">
        <v>0</v>
      </c>
      <c r="U114" s="1">
        <v>13.3476</v>
      </c>
    </row>
    <row r="115" spans="1:21" ht="15.6">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40.095999999999997</v>
      </c>
      <c r="S115" s="3">
        <v>14</v>
      </c>
      <c r="T115" s="3">
        <v>0.2</v>
      </c>
      <c r="U115" s="3">
        <v>14.534800000000001</v>
      </c>
    </row>
    <row r="116" spans="1:21" ht="15.6">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v>
      </c>
      <c r="S116" s="1">
        <v>2</v>
      </c>
      <c r="T116" s="1">
        <v>0.2</v>
      </c>
      <c r="U116" s="1">
        <v>1.6519999999999999</v>
      </c>
    </row>
    <row r="117" spans="1:21" ht="15.6">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23.975999999999999</v>
      </c>
      <c r="S117" s="3">
        <v>3</v>
      </c>
      <c r="T117" s="3">
        <v>0.2</v>
      </c>
      <c r="U117" s="3">
        <v>7.4924999999999997</v>
      </c>
    </row>
    <row r="118" spans="1:21" ht="15.6">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ht="15.6">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165.38130000000001</v>
      </c>
    </row>
    <row r="120" spans="1:21" ht="15.6">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157.79400000000001</v>
      </c>
      <c r="S120" s="1">
        <v>1</v>
      </c>
      <c r="T120" s="1">
        <v>0.7</v>
      </c>
      <c r="U120" s="1">
        <v>-115.71559999999999</v>
      </c>
    </row>
    <row r="121" spans="1:21" ht="15.6">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18.345600000000001</v>
      </c>
    </row>
    <row r="122" spans="1:21" ht="15.6">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ht="15.6">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63.436799999999998</v>
      </c>
    </row>
    <row r="124" spans="1:21" ht="15.6">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51.759</v>
      </c>
    </row>
    <row r="125" spans="1:21" ht="15.6">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19.7316</v>
      </c>
    </row>
    <row r="126" spans="1:21" ht="15.6">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-8.5794000000000796</v>
      </c>
    </row>
    <row r="127" spans="1:21" ht="15.6">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-407.68200000000002</v>
      </c>
    </row>
    <row r="128" spans="1:21" ht="15.6">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2.3879999999999999</v>
      </c>
      <c r="S128" s="1">
        <v>2</v>
      </c>
      <c r="T128" s="1">
        <v>0.7</v>
      </c>
      <c r="U128" s="1">
        <v>-1.8308</v>
      </c>
    </row>
    <row r="129" spans="1:21" ht="15.6">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243.99199999999999</v>
      </c>
      <c r="S129" s="3">
        <v>7</v>
      </c>
      <c r="T129" s="3">
        <v>0.2</v>
      </c>
      <c r="U129" s="3">
        <v>30.498999999999999</v>
      </c>
    </row>
    <row r="130" spans="1:21" ht="15.6">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-9.1601999999999997</v>
      </c>
    </row>
    <row r="131" spans="1:21" ht="15.6">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26.241599999999998</v>
      </c>
    </row>
    <row r="132" spans="1:21" ht="15.6">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59.97</v>
      </c>
      <c r="S132" s="1">
        <v>5</v>
      </c>
      <c r="T132" s="1">
        <v>0.4</v>
      </c>
      <c r="U132" s="1">
        <v>-11.994</v>
      </c>
    </row>
    <row r="133" spans="1:21" ht="15.6">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29.364000000000001</v>
      </c>
    </row>
    <row r="134" spans="1:21" ht="15.6">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6.9732000000000003</v>
      </c>
    </row>
    <row r="135" spans="1:21" ht="15.6">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row>
    <row r="136" spans="1:21" ht="15.6">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16.6568</v>
      </c>
    </row>
    <row r="137" spans="1:21" ht="15.6">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3.456</v>
      </c>
    </row>
    <row r="138" spans="1:21" ht="15.6">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1.9698</v>
      </c>
    </row>
    <row r="139" spans="1:21" ht="15.6">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26.6616</v>
      </c>
    </row>
    <row r="140" spans="1:21" ht="15.6">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18.446400000000001</v>
      </c>
    </row>
    <row r="141" spans="1:21" ht="15.6">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v>
      </c>
      <c r="S141" s="3">
        <v>14</v>
      </c>
      <c r="T141" s="3">
        <v>0</v>
      </c>
      <c r="U141" s="3">
        <v>20.697600000000001</v>
      </c>
    </row>
    <row r="142" spans="1:21" ht="15.6">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v>
      </c>
      <c r="S142" s="1">
        <v>2</v>
      </c>
      <c r="T142" s="1">
        <v>0.2</v>
      </c>
      <c r="U142" s="1">
        <v>10.35</v>
      </c>
    </row>
    <row r="143" spans="1:21" ht="15.6">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row>
    <row r="144" spans="1:21" ht="15.6">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5.1041999999999996</v>
      </c>
    </row>
    <row r="145" spans="1:21" ht="15.6">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row>
    <row r="146" spans="1:21" ht="15.6">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v>
      </c>
      <c r="S146" s="1">
        <v>3</v>
      </c>
      <c r="T146" s="1">
        <v>0</v>
      </c>
      <c r="U146" s="1">
        <v>218.2518</v>
      </c>
    </row>
    <row r="147" spans="1:21" ht="15.6">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20.157900000000001</v>
      </c>
    </row>
    <row r="148" spans="1:21" ht="15.6">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12.909599999999999</v>
      </c>
    </row>
    <row r="149" spans="1:21" ht="15.6">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v>
      </c>
      <c r="S149" s="3">
        <v>11</v>
      </c>
      <c r="T149" s="3">
        <v>0</v>
      </c>
      <c r="U149" s="3">
        <v>103.8015</v>
      </c>
    </row>
    <row r="150" spans="1:21" ht="15.6">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5.9987999999999797</v>
      </c>
    </row>
    <row r="151" spans="1:21" ht="15.6">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585.55200000000002</v>
      </c>
    </row>
    <row r="152" spans="1:21" ht="15.6">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ht="15.6">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17.765999999999998</v>
      </c>
    </row>
    <row r="154" spans="1:21" ht="15.6">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15.238799999999999</v>
      </c>
    </row>
    <row r="155" spans="1:21" ht="15.6">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58.38</v>
      </c>
      <c r="S155" s="3">
        <v>7</v>
      </c>
      <c r="T155" s="3">
        <v>0</v>
      </c>
      <c r="U155" s="3">
        <v>26.271000000000001</v>
      </c>
    </row>
    <row r="156" spans="1:21" ht="15.6">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48.539200000000001</v>
      </c>
    </row>
    <row r="157" spans="1:21" ht="15.6">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21.0288</v>
      </c>
    </row>
    <row r="158" spans="1:21" ht="15.6">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ht="15.6">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457.56799999999998</v>
      </c>
      <c r="S159" s="3">
        <v>2</v>
      </c>
      <c r="T159" s="3">
        <v>0.2</v>
      </c>
      <c r="U159" s="3">
        <v>51.476399999999899</v>
      </c>
    </row>
    <row r="160" spans="1:21" ht="15.6">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6.8714000000000004</v>
      </c>
    </row>
    <row r="161" spans="1:21" ht="15.6">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v>
      </c>
      <c r="S161" s="3">
        <v>7</v>
      </c>
      <c r="T161" s="3">
        <v>0</v>
      </c>
      <c r="U161" s="3">
        <v>236.23249999999999</v>
      </c>
    </row>
    <row r="162" spans="1:21" ht="15.6">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ht="15.6">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v>
      </c>
      <c r="S163" s="3">
        <v>2</v>
      </c>
      <c r="T163" s="3">
        <v>0.2</v>
      </c>
      <c r="U163" s="3">
        <v>1.3595999999999999</v>
      </c>
    </row>
    <row r="164" spans="1:21" ht="15.6">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13.348000000000001</v>
      </c>
    </row>
    <row r="165" spans="1:21" ht="15.6">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v>
      </c>
      <c r="S165" s="3">
        <v>2</v>
      </c>
      <c r="T165" s="3">
        <v>0.2</v>
      </c>
      <c r="U165" s="3">
        <v>9.6880000000000006</v>
      </c>
    </row>
    <row r="166" spans="1:21" ht="15.6">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ht="15.6">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8159.9520000000002</v>
      </c>
      <c r="S167" s="3">
        <v>8</v>
      </c>
      <c r="T167" s="3">
        <v>0.4</v>
      </c>
      <c r="U167" s="3">
        <v>-1359.992</v>
      </c>
    </row>
    <row r="168" spans="1:21" ht="15.6">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-58.634700000000002</v>
      </c>
    </row>
    <row r="169" spans="1:21" ht="15.6">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1740.06</v>
      </c>
      <c r="S169" s="3">
        <v>9</v>
      </c>
      <c r="T169" s="3">
        <v>0.3</v>
      </c>
      <c r="U169" s="3">
        <v>-24.858000000000199</v>
      </c>
    </row>
    <row r="170" spans="1:21" ht="15.6">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6.8136000000000001</v>
      </c>
    </row>
    <row r="171" spans="1:21" ht="15.6">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177.98</v>
      </c>
      <c r="S171" s="3">
        <v>5</v>
      </c>
      <c r="T171" s="3">
        <v>0.8</v>
      </c>
      <c r="U171" s="3">
        <v>-453.84899999999999</v>
      </c>
    </row>
    <row r="172" spans="1:21" ht="15.6">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8.9985000000000106</v>
      </c>
    </row>
    <row r="173" spans="1:21" ht="15.6">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9.8417999999999992</v>
      </c>
    </row>
    <row r="174" spans="1:21" ht="15.6">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53.260800000000003</v>
      </c>
    </row>
    <row r="175" spans="1:21" ht="15.6">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340.14400000000001</v>
      </c>
      <c r="S175" s="3">
        <v>7</v>
      </c>
      <c r="T175" s="3">
        <v>0.2</v>
      </c>
      <c r="U175" s="3">
        <v>21.259</v>
      </c>
    </row>
    <row r="176" spans="1:21" ht="15.6">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52.448</v>
      </c>
      <c r="S176" s="1">
        <v>2</v>
      </c>
      <c r="T176" s="1">
        <v>0.8</v>
      </c>
      <c r="U176" s="1">
        <v>-131.12</v>
      </c>
    </row>
    <row r="177" spans="1:21" ht="15.6">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6.5519999999999996</v>
      </c>
    </row>
    <row r="178" spans="1:21" ht="15.6">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97.263999999999996</v>
      </c>
      <c r="S178" s="1">
        <v>4</v>
      </c>
      <c r="T178" s="1">
        <v>0.8</v>
      </c>
      <c r="U178" s="1">
        <v>-243.16</v>
      </c>
    </row>
    <row r="179" spans="1:21" ht="15.6">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v>
      </c>
    </row>
    <row r="180" spans="1:21" ht="15.6">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-3.7715000000000001</v>
      </c>
    </row>
    <row r="181" spans="1:21" ht="15.6">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row>
    <row r="182" spans="1:21" ht="15.6">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24.815999999999999</v>
      </c>
      <c r="S182" s="1">
        <v>2</v>
      </c>
      <c r="T182" s="1">
        <v>0.2</v>
      </c>
      <c r="U182" s="1">
        <v>1.8612</v>
      </c>
    </row>
    <row r="183" spans="1:21" ht="15.6">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408.74400000000003</v>
      </c>
      <c r="S183" s="3">
        <v>7</v>
      </c>
      <c r="T183" s="3">
        <v>0.2</v>
      </c>
      <c r="U183" s="3">
        <v>76.639499999999998</v>
      </c>
    </row>
    <row r="184" spans="1:21" ht="15.6">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131.02959999999999</v>
      </c>
    </row>
    <row r="185" spans="1:21" ht="15.6">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41.985999999999997</v>
      </c>
    </row>
    <row r="186" spans="1:21" ht="15.6">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ht="15.6">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row>
    <row r="188" spans="1:21" ht="15.6">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22.984000000000002</v>
      </c>
    </row>
    <row r="189" spans="1:21" ht="15.6">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37.223999999999997</v>
      </c>
      <c r="S189" s="3">
        <v>3</v>
      </c>
      <c r="T189" s="3">
        <v>0.2</v>
      </c>
      <c r="U189" s="3">
        <v>3.7223999999999999</v>
      </c>
    </row>
    <row r="190" spans="1:21" ht="15.6">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20.015999999999998</v>
      </c>
      <c r="S190" s="1">
        <v>3</v>
      </c>
      <c r="T190" s="1">
        <v>0.2</v>
      </c>
      <c r="U190" s="1">
        <v>6.2549999999999999</v>
      </c>
    </row>
    <row r="191" spans="1:21" ht="15.6">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899.13599999999997</v>
      </c>
      <c r="S191" s="3">
        <v>4</v>
      </c>
      <c r="T191" s="3">
        <v>0.2</v>
      </c>
      <c r="U191" s="3">
        <v>112.392</v>
      </c>
    </row>
    <row r="192" spans="1:21" ht="15.6">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v>
      </c>
    </row>
    <row r="193" spans="1:21" ht="15.6">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24.883199999999999</v>
      </c>
    </row>
    <row r="194" spans="1:21" ht="15.6">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626.35199999999998</v>
      </c>
      <c r="S194" s="1">
        <v>3</v>
      </c>
      <c r="T194" s="1">
        <v>0.2</v>
      </c>
      <c r="U194" s="1">
        <v>46.976399999999998</v>
      </c>
    </row>
    <row r="195" spans="1:21" ht="15.6">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6.5670000000000002</v>
      </c>
    </row>
    <row r="196" spans="1:21" ht="15.6">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v>
      </c>
      <c r="S196" s="1">
        <v>7</v>
      </c>
      <c r="T196" s="1">
        <v>0</v>
      </c>
      <c r="U196" s="1">
        <v>6.7115999999999998</v>
      </c>
    </row>
    <row r="197" spans="1:21" ht="15.6">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1.2038</v>
      </c>
    </row>
    <row r="198" spans="1:21" ht="15.6">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1.5875999999999999</v>
      </c>
    </row>
    <row r="199" spans="1:21" ht="15.6">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row>
    <row r="200" spans="1:21" ht="15.6">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2.9460000000000002</v>
      </c>
      <c r="S200" s="1">
        <v>2</v>
      </c>
      <c r="T200" s="1">
        <v>0.7</v>
      </c>
      <c r="U200" s="1">
        <v>-2.2585999999999999</v>
      </c>
    </row>
    <row r="201" spans="1:21" ht="15.6">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5.8202999999999996</v>
      </c>
    </row>
    <row r="202" spans="1:21" ht="15.6">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v>
      </c>
      <c r="S202" s="1">
        <v>3</v>
      </c>
      <c r="T202" s="1">
        <v>0.2</v>
      </c>
      <c r="U202" s="1">
        <v>6.7949999999999999</v>
      </c>
    </row>
    <row r="203" spans="1:21" ht="15.6">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row>
    <row r="204" spans="1:21" ht="15.6">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0.29249999999999998</v>
      </c>
    </row>
    <row r="205" spans="1:21" ht="15.6">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66.284000000000006</v>
      </c>
      <c r="S205" s="3">
        <v>2</v>
      </c>
      <c r="T205" s="3">
        <v>0.8</v>
      </c>
      <c r="U205" s="3">
        <v>-178.96680000000001</v>
      </c>
    </row>
    <row r="206" spans="1:21" ht="15.6">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35.167999999999999</v>
      </c>
      <c r="S206" s="1">
        <v>7</v>
      </c>
      <c r="T206" s="1">
        <v>0.2</v>
      </c>
      <c r="U206" s="1">
        <v>9.6712000000000007</v>
      </c>
    </row>
    <row r="207" spans="1:21" ht="15.6">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444.76799999999997</v>
      </c>
      <c r="S207" s="3">
        <v>4</v>
      </c>
      <c r="T207" s="3">
        <v>0.2</v>
      </c>
      <c r="U207" s="3">
        <v>44.476799999999997</v>
      </c>
    </row>
    <row r="208" spans="1:21" ht="15.6">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5.8743999999999899</v>
      </c>
    </row>
    <row r="209" spans="1:21" ht="15.6">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35.634599999999999</v>
      </c>
    </row>
    <row r="210" spans="1:21" ht="15.6">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ht="15.6">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16.209900000000001</v>
      </c>
    </row>
    <row r="212" spans="1:21" ht="15.6">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v>
      </c>
    </row>
    <row r="213" spans="1:21" ht="15.6">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6.5</v>
      </c>
    </row>
    <row r="214" spans="1:21" ht="15.6">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v>
      </c>
      <c r="S214" s="1">
        <v>2</v>
      </c>
      <c r="T214" s="1">
        <v>0.2</v>
      </c>
      <c r="U214" s="1">
        <v>8.8800000000000008</v>
      </c>
    </row>
    <row r="215" spans="1:21" ht="15.6">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-244.32300000000001</v>
      </c>
    </row>
    <row r="216" spans="1:21" ht="15.6">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v>
      </c>
    </row>
    <row r="217" spans="1:21" ht="15.6">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v>
      </c>
      <c r="S217" s="3">
        <v>9</v>
      </c>
      <c r="T217" s="3">
        <v>0.7</v>
      </c>
      <c r="U217" s="3">
        <v>-950.4</v>
      </c>
    </row>
    <row r="218" spans="1:21" ht="15.6">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4.4792000000000103</v>
      </c>
    </row>
    <row r="219" spans="1:21" ht="15.6">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26.056799999999999</v>
      </c>
    </row>
    <row r="220" spans="1:21" ht="15.6">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v>
      </c>
    </row>
    <row r="221" spans="1:21" ht="15.6">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5.5839999999999996</v>
      </c>
      <c r="S221" s="3">
        <v>2</v>
      </c>
      <c r="T221" s="3">
        <v>0.2</v>
      </c>
      <c r="U221" s="3">
        <v>1.8148</v>
      </c>
    </row>
    <row r="222" spans="1:21" ht="15.6">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22.704000000000001</v>
      </c>
      <c r="S222" s="1">
        <v>6</v>
      </c>
      <c r="T222" s="1">
        <v>0.2</v>
      </c>
      <c r="U222" s="1">
        <v>8.2302</v>
      </c>
    </row>
    <row r="223" spans="1:21" ht="15.6">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v>
      </c>
      <c r="S223" s="3">
        <v>4</v>
      </c>
      <c r="T223" s="3">
        <v>0.7</v>
      </c>
      <c r="U223" s="3">
        <v>-13.8432</v>
      </c>
    </row>
    <row r="224" spans="1:21" ht="15.6">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19.084800000000001</v>
      </c>
    </row>
    <row r="225" spans="1:21" ht="15.6">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v>
      </c>
      <c r="S225" s="3">
        <v>4</v>
      </c>
      <c r="T225" s="3">
        <v>0.7</v>
      </c>
      <c r="U225" s="3">
        <v>-383.99040000000002</v>
      </c>
    </row>
    <row r="226" spans="1:21" ht="15.6">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27.167999999999999</v>
      </c>
      <c r="S226" s="1">
        <v>2</v>
      </c>
      <c r="T226" s="1">
        <v>0.2</v>
      </c>
      <c r="U226" s="1">
        <v>2.7168000000000001</v>
      </c>
    </row>
    <row r="227" spans="1:21" ht="15.6">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0.96799999999999997</v>
      </c>
    </row>
    <row r="228" spans="1:21" ht="15.6">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622.45000000000005</v>
      </c>
      <c r="S228" s="1">
        <v>5</v>
      </c>
      <c r="T228" s="1">
        <v>0</v>
      </c>
      <c r="U228" s="1">
        <v>136.93899999999999</v>
      </c>
    </row>
    <row r="229" spans="1:21" ht="15.6">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0.219799999999999</v>
      </c>
    </row>
    <row r="230" spans="1:21" ht="15.6">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v>
      </c>
    </row>
    <row r="231" spans="1:21" ht="15.6">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43.840800000000002</v>
      </c>
    </row>
    <row r="232" spans="1:21" ht="15.6">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v>
      </c>
      <c r="S232" s="1">
        <v>7</v>
      </c>
      <c r="T232" s="1">
        <v>0.7</v>
      </c>
      <c r="U232" s="1">
        <v>-12.432</v>
      </c>
    </row>
    <row r="233" spans="1:21" ht="15.6">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v>
      </c>
    </row>
    <row r="234" spans="1:21" ht="15.6">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620.61450000000002</v>
      </c>
      <c r="S234" s="1">
        <v>3</v>
      </c>
      <c r="T234" s="1">
        <v>0.45</v>
      </c>
      <c r="U234" s="1">
        <v>-248.2458</v>
      </c>
    </row>
    <row r="235" spans="1:21" ht="15.6">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5.3280000000000003</v>
      </c>
      <c r="S235" s="3">
        <v>2</v>
      </c>
      <c r="T235" s="3">
        <v>0.7</v>
      </c>
      <c r="U235" s="3">
        <v>-3.552</v>
      </c>
    </row>
    <row r="236" spans="1:21" ht="15.6">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ht="15.6">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v>
      </c>
      <c r="S237" s="3">
        <v>3</v>
      </c>
      <c r="T237" s="3">
        <v>0.2</v>
      </c>
      <c r="U237" s="3">
        <v>-7.7247000000000998</v>
      </c>
    </row>
    <row r="238" spans="1:21" ht="15.6">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ht="15.6">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v>
      </c>
      <c r="S239" s="3">
        <v>5</v>
      </c>
      <c r="T239" s="3">
        <v>0.2</v>
      </c>
      <c r="U239" s="3">
        <v>9.3960000000000008</v>
      </c>
    </row>
    <row r="240" spans="1:21" ht="15.6">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v>
      </c>
      <c r="S240" s="1">
        <v>5</v>
      </c>
      <c r="T240" s="1">
        <v>0.6</v>
      </c>
      <c r="U240" s="1">
        <v>-356.72800000000001</v>
      </c>
    </row>
    <row r="241" spans="1:21" ht="15.6">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-4.6752000000000002</v>
      </c>
    </row>
    <row r="242" spans="1:21" ht="15.6">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31.984000000000002</v>
      </c>
      <c r="S242" s="1">
        <v>2</v>
      </c>
      <c r="T242" s="1">
        <v>0.2</v>
      </c>
      <c r="U242" s="1">
        <v>11.1944</v>
      </c>
    </row>
    <row r="243" spans="1:21" ht="15.6">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-120.51300000000001</v>
      </c>
    </row>
    <row r="244" spans="1:21" ht="15.6">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4.0439999999999996</v>
      </c>
      <c r="S244" s="1">
        <v>3</v>
      </c>
      <c r="T244" s="1">
        <v>0.6</v>
      </c>
      <c r="U244" s="1">
        <v>-2.8308</v>
      </c>
    </row>
    <row r="245" spans="1:21" ht="15.6">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1.2038</v>
      </c>
    </row>
    <row r="246" spans="1:21" ht="15.6">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v>
      </c>
      <c r="S246" s="1">
        <v>7</v>
      </c>
      <c r="T246" s="1">
        <v>0</v>
      </c>
      <c r="U246" s="1">
        <v>580.5394</v>
      </c>
    </row>
    <row r="247" spans="1:21" ht="15.6">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v>
      </c>
    </row>
    <row r="248" spans="1:21" ht="15.6">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ht="15.6">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496.07249999999999</v>
      </c>
    </row>
    <row r="250" spans="1:21" ht="15.6">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12.441599999999999</v>
      </c>
    </row>
    <row r="251" spans="1:21" ht="15.6">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v>
      </c>
    </row>
    <row r="252" spans="1:21" ht="15.6">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3.5767000000000002</v>
      </c>
    </row>
    <row r="253" spans="1:21" ht="15.6">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636.00030000000004</v>
      </c>
    </row>
    <row r="254" spans="1:21" ht="15.6">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v>
      </c>
    </row>
    <row r="255" spans="1:21" ht="15.6">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row>
    <row r="256" spans="1:21" ht="15.6">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v>
      </c>
      <c r="S256" s="1">
        <v>9</v>
      </c>
      <c r="T256" s="1">
        <v>0.6</v>
      </c>
      <c r="U256" s="1">
        <v>-8.4923999999999999</v>
      </c>
    </row>
    <row r="257" spans="1:21" ht="15.6">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-19.5624</v>
      </c>
    </row>
    <row r="258" spans="1:21" ht="15.6">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4.0439999999999996</v>
      </c>
    </row>
    <row r="259" spans="1:21" ht="15.6">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56.691600000000001</v>
      </c>
    </row>
    <row r="260" spans="1:21" ht="15.6">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6.9257999999999997</v>
      </c>
    </row>
    <row r="261" spans="1:21" ht="15.6">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221.55</v>
      </c>
      <c r="S261" s="3">
        <v>3</v>
      </c>
      <c r="T261" s="3">
        <v>0</v>
      </c>
      <c r="U261" s="3">
        <v>6.6465000000000201</v>
      </c>
    </row>
    <row r="262" spans="1:21" ht="15.6">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6.1319999999999997</v>
      </c>
    </row>
    <row r="263" spans="1:21" ht="15.6">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1.6240000000000001</v>
      </c>
      <c r="S263" s="3">
        <v>2</v>
      </c>
      <c r="T263" s="3">
        <v>0.8</v>
      </c>
      <c r="U263" s="3">
        <v>-4.4660000000000002</v>
      </c>
    </row>
    <row r="264" spans="1:21" ht="15.6">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-509.99700000000098</v>
      </c>
    </row>
    <row r="265" spans="1:21" ht="15.6">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2519.9580000000001</v>
      </c>
      <c r="S265" s="3">
        <v>7</v>
      </c>
      <c r="T265" s="3">
        <v>0.4</v>
      </c>
      <c r="U265" s="3">
        <v>-251.9958</v>
      </c>
    </row>
    <row r="266" spans="1:21" ht="15.6">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ht="15.6">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35.155999999999999</v>
      </c>
    </row>
    <row r="268" spans="1:21" ht="15.6">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14.016</v>
      </c>
      <c r="S268" s="1">
        <v>3</v>
      </c>
      <c r="T268" s="1">
        <v>0.2</v>
      </c>
      <c r="U268" s="1">
        <v>4.7304000000000004</v>
      </c>
    </row>
    <row r="269" spans="1:21" ht="15.6">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v>
      </c>
      <c r="S269" s="3">
        <v>6</v>
      </c>
      <c r="T269" s="3">
        <v>0</v>
      </c>
      <c r="U269" s="3">
        <v>0.3024</v>
      </c>
    </row>
    <row r="270" spans="1:21" ht="15.6">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-7.4416000000000002</v>
      </c>
    </row>
    <row r="271" spans="1:21" ht="15.6">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row>
    <row r="272" spans="1:21" ht="15.6">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210.49359999999999</v>
      </c>
    </row>
    <row r="273" spans="1:21" ht="15.6">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209.93</v>
      </c>
      <c r="S273" s="3">
        <v>7</v>
      </c>
      <c r="T273" s="3">
        <v>0</v>
      </c>
      <c r="U273" s="3">
        <v>92.369200000000006</v>
      </c>
    </row>
    <row r="274" spans="1:21" ht="15.6">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2.3231999999999999</v>
      </c>
    </row>
    <row r="275" spans="1:21" ht="15.6">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4.0949999999999998</v>
      </c>
    </row>
    <row r="276" spans="1:21" ht="15.6">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ht="15.6">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v>
      </c>
    </row>
    <row r="278" spans="1:21" ht="15.6">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v>
      </c>
      <c r="S278" s="1">
        <v>2</v>
      </c>
      <c r="T278" s="1">
        <v>0.2</v>
      </c>
      <c r="U278" s="1">
        <v>4.0768000000000004</v>
      </c>
    </row>
    <row r="279" spans="1:21" ht="15.6">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5.9071999999999996</v>
      </c>
    </row>
    <row r="280" spans="1:21" ht="15.6">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ht="15.6">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24.84</v>
      </c>
      <c r="S281" s="3">
        <v>3</v>
      </c>
      <c r="T281" s="3">
        <v>0.2</v>
      </c>
      <c r="U281" s="3">
        <v>8.6940000000000008</v>
      </c>
    </row>
    <row r="282" spans="1:21" ht="15.6">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2.08</v>
      </c>
      <c r="S282" s="1">
        <v>5</v>
      </c>
      <c r="T282" s="1">
        <v>0.8</v>
      </c>
      <c r="U282" s="1">
        <v>-3.4319999999999999</v>
      </c>
    </row>
    <row r="283" spans="1:21" ht="15.6">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row>
    <row r="284" spans="1:21" ht="15.6">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v>
      </c>
    </row>
    <row r="285" spans="1:21" ht="15.6">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47.844000000000001</v>
      </c>
    </row>
    <row r="286" spans="1:21" ht="15.6">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v>
      </c>
      <c r="S286" s="1">
        <v>5</v>
      </c>
      <c r="T286" s="1">
        <v>0.2</v>
      </c>
      <c r="U286" s="1">
        <v>47.96</v>
      </c>
    </row>
    <row r="287" spans="1:21" ht="15.6">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31.103999999999999</v>
      </c>
      <c r="S287" s="3">
        <v>6</v>
      </c>
      <c r="T287" s="3">
        <v>0.2</v>
      </c>
      <c r="U287" s="3">
        <v>10.8864</v>
      </c>
    </row>
    <row r="288" spans="1:21" ht="15.6">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254.05799999999999</v>
      </c>
      <c r="S288" s="1">
        <v>7</v>
      </c>
      <c r="T288" s="1">
        <v>0.7</v>
      </c>
      <c r="U288" s="1">
        <v>-169.37200000000001</v>
      </c>
    </row>
    <row r="289" spans="1:21" ht="15.6">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194.52799999999999</v>
      </c>
      <c r="S289" s="3">
        <v>2</v>
      </c>
      <c r="T289" s="3">
        <v>0.2</v>
      </c>
      <c r="U289" s="3">
        <v>24.315999999999999</v>
      </c>
    </row>
    <row r="290" spans="1:21" ht="15.6">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v>
      </c>
      <c r="S290" s="1">
        <v>5</v>
      </c>
      <c r="T290" s="1">
        <v>0.2</v>
      </c>
      <c r="U290" s="1">
        <v>-204.31450000000001</v>
      </c>
    </row>
    <row r="291" spans="1:21" ht="15.6">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6.6836000000000002</v>
      </c>
    </row>
    <row r="292" spans="1:21" ht="15.6">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18.495999999999999</v>
      </c>
      <c r="S292" s="1">
        <v>8</v>
      </c>
      <c r="T292" s="1">
        <v>0.2</v>
      </c>
      <c r="U292" s="1">
        <v>6.2423999999999999</v>
      </c>
    </row>
    <row r="293" spans="1:21" ht="15.6">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255.98400000000001</v>
      </c>
      <c r="S293" s="3">
        <v>2</v>
      </c>
      <c r="T293" s="3">
        <v>0.2</v>
      </c>
      <c r="U293" s="3">
        <v>54.396599999999999</v>
      </c>
    </row>
    <row r="294" spans="1:21" ht="15.6">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-48.703200000000002</v>
      </c>
    </row>
    <row r="295" spans="1:21" ht="15.6">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row>
    <row r="296" spans="1:21" ht="15.6">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v>
      </c>
      <c r="S296" s="1">
        <v>3</v>
      </c>
      <c r="T296" s="1">
        <v>0.2</v>
      </c>
      <c r="U296" s="1">
        <v>20.155799999999999</v>
      </c>
    </row>
    <row r="297" spans="1:21" ht="15.6">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v>
      </c>
      <c r="S297" s="3">
        <v>3</v>
      </c>
      <c r="T297" s="3">
        <v>0.2</v>
      </c>
      <c r="U297" s="3">
        <v>-24.564599999999999</v>
      </c>
    </row>
    <row r="298" spans="1:21" ht="15.6">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78.599999999999994</v>
      </c>
      <c r="S298" s="1">
        <v>5</v>
      </c>
      <c r="T298" s="1">
        <v>0.7</v>
      </c>
      <c r="U298" s="1">
        <v>-62.88</v>
      </c>
    </row>
    <row r="299" spans="1:21" ht="15.6">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v>
      </c>
      <c r="S299" s="3">
        <v>3</v>
      </c>
      <c r="T299" s="3">
        <v>0.2</v>
      </c>
      <c r="U299" s="3">
        <v>9.2988</v>
      </c>
    </row>
    <row r="300" spans="1:21" ht="15.6">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v>
      </c>
      <c r="S300" s="1">
        <v>5</v>
      </c>
      <c r="T300" s="1">
        <v>0</v>
      </c>
      <c r="U300" s="1">
        <v>15.552</v>
      </c>
    </row>
    <row r="301" spans="1:21" ht="15.6">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10.824800000000099</v>
      </c>
    </row>
    <row r="302" spans="1:21" ht="15.6">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27.316800000000001</v>
      </c>
    </row>
    <row r="303" spans="1:21" ht="15.6">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38.024000000000001</v>
      </c>
    </row>
    <row r="304" spans="1:21" ht="15.6">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6.5688000000000004</v>
      </c>
    </row>
    <row r="305" spans="1:21" ht="15.6">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219.07499999999999</v>
      </c>
      <c r="S305" s="3">
        <v>3</v>
      </c>
      <c r="T305" s="3">
        <v>0.5</v>
      </c>
      <c r="U305" s="3">
        <v>-131.44499999999999</v>
      </c>
    </row>
    <row r="306" spans="1:21" ht="15.6">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12.864000000000001</v>
      </c>
    </row>
    <row r="307" spans="1:21" ht="15.6">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2.8536000000000001</v>
      </c>
    </row>
    <row r="308" spans="1:21" ht="15.6">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v>
      </c>
      <c r="S308" s="1">
        <v>3</v>
      </c>
      <c r="T308" s="1">
        <v>0</v>
      </c>
      <c r="U308" s="1">
        <v>20.9208</v>
      </c>
    </row>
    <row r="309" spans="1:21" ht="15.6">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v>
      </c>
      <c r="S309" s="3">
        <v>6</v>
      </c>
      <c r="T309" s="3">
        <v>0</v>
      </c>
      <c r="U309" s="3">
        <v>83.867999999999995</v>
      </c>
    </row>
    <row r="310" spans="1:21" ht="15.6">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ht="15.6">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15.135999999999999</v>
      </c>
      <c r="S311" s="3">
        <v>4</v>
      </c>
      <c r="T311" s="3">
        <v>0.2</v>
      </c>
      <c r="U311" s="3">
        <v>3.5948000000000002</v>
      </c>
    </row>
    <row r="312" spans="1:21" ht="15.6">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466.76799999999997</v>
      </c>
      <c r="S312" s="1">
        <v>2</v>
      </c>
      <c r="T312" s="1">
        <v>0.2</v>
      </c>
      <c r="U312" s="1">
        <v>52.511400000000002</v>
      </c>
    </row>
    <row r="313" spans="1:21" ht="15.6">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1.7136</v>
      </c>
    </row>
    <row r="314" spans="1:21" ht="15.6">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ht="15.6">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87.54</v>
      </c>
      <c r="S315" s="3">
        <v>3</v>
      </c>
      <c r="T315" s="3">
        <v>0</v>
      </c>
      <c r="U315" s="3">
        <v>37.642200000000003</v>
      </c>
    </row>
    <row r="316" spans="1:21" ht="15.6">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178.38399999999999</v>
      </c>
      <c r="S316" s="1">
        <v>2</v>
      </c>
      <c r="T316" s="1">
        <v>0.2</v>
      </c>
      <c r="U316" s="1">
        <v>22.297999999999998</v>
      </c>
    </row>
    <row r="317" spans="1:21" ht="15.6">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v>
      </c>
      <c r="S317" s="3">
        <v>3</v>
      </c>
      <c r="T317" s="3">
        <v>0.2</v>
      </c>
      <c r="U317" s="3">
        <v>5.4432</v>
      </c>
    </row>
    <row r="318" spans="1:21" ht="15.6">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99.135999999999996</v>
      </c>
      <c r="S318" s="1">
        <v>4</v>
      </c>
      <c r="T318" s="1">
        <v>0.2</v>
      </c>
      <c r="U318" s="1">
        <v>8.6743999999999897</v>
      </c>
    </row>
    <row r="319" spans="1:21" ht="15.6">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v>
      </c>
    </row>
    <row r="320" spans="1:21" ht="15.6">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ht="15.6">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row>
    <row r="322" spans="1:21" ht="15.6">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ht="15.6">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13.071</v>
      </c>
    </row>
    <row r="324" spans="1:21" ht="15.6">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ht="15.6">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row>
    <row r="326" spans="1:21" ht="15.6">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ht="15.6">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15.992000000000001</v>
      </c>
      <c r="S327" s="3">
        <v>1</v>
      </c>
      <c r="T327" s="3">
        <v>0.2</v>
      </c>
      <c r="U327" s="3">
        <v>0.99949999999999894</v>
      </c>
    </row>
    <row r="328" spans="1:21" ht="15.6">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ht="15.6">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54.223999999999997</v>
      </c>
      <c r="S329" s="3">
        <v>2</v>
      </c>
      <c r="T329" s="3">
        <v>0.2</v>
      </c>
      <c r="U329" s="3">
        <v>3.3889999999999998</v>
      </c>
    </row>
    <row r="330" spans="1:21" ht="15.6">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v>
      </c>
    </row>
    <row r="331" spans="1:21" ht="15.6">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v>
      </c>
      <c r="S331" s="3">
        <v>10</v>
      </c>
      <c r="T331" s="3">
        <v>0.2</v>
      </c>
      <c r="U331" s="3">
        <v>33.831000000000003</v>
      </c>
    </row>
    <row r="332" spans="1:21" ht="15.6">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37.764000000000003</v>
      </c>
      <c r="S332" s="1">
        <v>6</v>
      </c>
      <c r="T332" s="1">
        <v>0.7</v>
      </c>
      <c r="U332" s="1">
        <v>-27.6936</v>
      </c>
    </row>
    <row r="333" spans="1:21" ht="15.6">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v>
      </c>
    </row>
    <row r="334" spans="1:21" ht="15.6">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v>
      </c>
      <c r="S334" s="1">
        <v>2</v>
      </c>
      <c r="T334" s="1">
        <v>0.7</v>
      </c>
      <c r="U334" s="1">
        <v>-13.816000000000001</v>
      </c>
    </row>
    <row r="335" spans="1:21" ht="15.6">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4.8959999999999999</v>
      </c>
      <c r="S335" s="3">
        <v>3</v>
      </c>
      <c r="T335" s="3">
        <v>0.7</v>
      </c>
      <c r="U335" s="3">
        <v>-3.4272</v>
      </c>
    </row>
    <row r="336" spans="1:21" ht="15.6">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4.7519999999999998</v>
      </c>
      <c r="S336" s="1">
        <v>1</v>
      </c>
      <c r="T336" s="1">
        <v>0.2</v>
      </c>
      <c r="U336" s="1">
        <v>1.6037999999999999</v>
      </c>
    </row>
    <row r="337" spans="1:21" ht="15.6">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335.99439999999998</v>
      </c>
    </row>
    <row r="338" spans="1:21" ht="15.6">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v>
      </c>
      <c r="S338" s="1">
        <v>4</v>
      </c>
      <c r="T338" s="1">
        <v>0.2</v>
      </c>
      <c r="U338" s="1">
        <v>4.49</v>
      </c>
    </row>
    <row r="339" spans="1:21" ht="15.6">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7.7119999999999997</v>
      </c>
      <c r="S339" s="3">
        <v>2</v>
      </c>
      <c r="T339" s="3">
        <v>0.2</v>
      </c>
      <c r="U339" s="3">
        <v>2.7955999999999999</v>
      </c>
    </row>
    <row r="340" spans="1:21" ht="15.6">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698.35199999999998</v>
      </c>
      <c r="S340" s="1">
        <v>3</v>
      </c>
      <c r="T340" s="1">
        <v>0.2</v>
      </c>
      <c r="U340" s="1">
        <v>-17.4588000000001</v>
      </c>
    </row>
    <row r="341" spans="1:21" ht="15.6">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row>
    <row r="342" spans="1:21" ht="15.6">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1.1160000000000001</v>
      </c>
    </row>
    <row r="343" spans="1:21" ht="15.6">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v>
      </c>
      <c r="S343" s="3">
        <v>10</v>
      </c>
      <c r="T343" s="3">
        <v>0.7</v>
      </c>
      <c r="U343" s="3">
        <v>-407.976</v>
      </c>
    </row>
    <row r="344" spans="1:21" ht="15.6">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30.992000000000001</v>
      </c>
      <c r="S344" s="1">
        <v>13</v>
      </c>
      <c r="T344" s="1">
        <v>0.2</v>
      </c>
      <c r="U344" s="1">
        <v>10.0724</v>
      </c>
    </row>
    <row r="345" spans="1:21" ht="15.6">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8.3915999999999897</v>
      </c>
    </row>
    <row r="346" spans="1:21" ht="15.6">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v>
      </c>
      <c r="S346" s="1">
        <v>4</v>
      </c>
      <c r="T346" s="1">
        <v>0.2</v>
      </c>
      <c r="U346" s="1">
        <v>-2.22000000000001</v>
      </c>
    </row>
    <row r="347" spans="1:21" ht="15.6">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4.7976000000000001</v>
      </c>
    </row>
    <row r="348" spans="1:21" ht="15.6">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v>
      </c>
      <c r="S348" s="1">
        <v>3</v>
      </c>
      <c r="T348" s="1">
        <v>0</v>
      </c>
      <c r="U348" s="1">
        <v>3.0996000000000001</v>
      </c>
    </row>
    <row r="349" spans="1:21" ht="15.6">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11.543200000000001</v>
      </c>
    </row>
    <row r="350" spans="1:21" ht="15.6">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ht="15.6">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row>
    <row r="352" spans="1:21" ht="15.6">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11.543200000000001</v>
      </c>
    </row>
    <row r="353" spans="1:21" ht="15.6">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row>
    <row r="354" spans="1:21" ht="15.6">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23.086400000000001</v>
      </c>
    </row>
    <row r="355" spans="1:21" ht="15.6">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4355.1679999999997</v>
      </c>
      <c r="S355" s="3">
        <v>4</v>
      </c>
      <c r="T355" s="3">
        <v>0.2</v>
      </c>
      <c r="U355" s="3">
        <v>1415.4295999999999</v>
      </c>
    </row>
    <row r="356" spans="1:21" ht="15.6">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388.70400000000001</v>
      </c>
      <c r="S356" s="1">
        <v>6</v>
      </c>
      <c r="T356" s="1">
        <v>0.2</v>
      </c>
      <c r="U356" s="1">
        <v>-4.8587999999999996</v>
      </c>
    </row>
    <row r="357" spans="1:21" ht="15.6">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row>
    <row r="358" spans="1:21" ht="15.6">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ht="15.6">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15.824</v>
      </c>
    </row>
    <row r="360" spans="1:21" ht="15.6">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v>
      </c>
      <c r="S360" s="1">
        <v>5</v>
      </c>
      <c r="T360" s="1">
        <v>0.2</v>
      </c>
      <c r="U360" s="1">
        <v>11.324999999999999</v>
      </c>
    </row>
    <row r="361" spans="1:21" ht="15.6">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row>
    <row r="362" spans="1:21" ht="15.6">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ht="15.6">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row>
    <row r="364" spans="1:21" ht="15.6">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ht="15.6">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1.4456</v>
      </c>
    </row>
    <row r="366" spans="1:21" ht="15.6">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ht="15.6">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8.4783999999999899</v>
      </c>
    </row>
    <row r="368" spans="1:21" ht="15.6">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ht="15.6">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0.1472</v>
      </c>
    </row>
    <row r="370" spans="1:21" ht="15.6">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29.341200000000001</v>
      </c>
    </row>
    <row r="371" spans="1:21" ht="15.6">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271.41919999999999</v>
      </c>
    </row>
    <row r="372" spans="1:21" ht="15.6">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v>
      </c>
      <c r="S372" s="1">
        <v>5</v>
      </c>
      <c r="T372" s="1">
        <v>0.2</v>
      </c>
      <c r="U372" s="1">
        <v>9.3960000000000008</v>
      </c>
    </row>
    <row r="373" spans="1:21" ht="15.6">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53.423999999999999</v>
      </c>
      <c r="S373" s="3">
        <v>3</v>
      </c>
      <c r="T373" s="3">
        <v>0.2</v>
      </c>
      <c r="U373" s="3">
        <v>4.6745999999999999</v>
      </c>
    </row>
    <row r="374" spans="1:21" ht="15.6">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v>
      </c>
      <c r="S374" s="1">
        <v>5</v>
      </c>
      <c r="T374" s="1">
        <v>0.7</v>
      </c>
      <c r="U374" s="1">
        <v>-5.7119999999999997</v>
      </c>
    </row>
    <row r="375" spans="1:21" ht="15.6">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v>
      </c>
      <c r="S375" s="3">
        <v>8</v>
      </c>
      <c r="T375" s="3">
        <v>0.2</v>
      </c>
      <c r="U375" s="3">
        <v>179.18879999999999</v>
      </c>
    </row>
    <row r="376" spans="1:21" ht="15.6">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0.92400000000000004</v>
      </c>
    </row>
    <row r="377" spans="1:21" ht="15.6">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v>
      </c>
    </row>
    <row r="378" spans="1:21" ht="15.6">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99.135999999999996</v>
      </c>
      <c r="S378" s="1">
        <v>4</v>
      </c>
      <c r="T378" s="1">
        <v>0.2</v>
      </c>
      <c r="U378" s="1">
        <v>30.98</v>
      </c>
    </row>
    <row r="379" spans="1:21" ht="15.6">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1488.424</v>
      </c>
      <c r="S379" s="3">
        <v>7</v>
      </c>
      <c r="T379" s="3">
        <v>0.3</v>
      </c>
      <c r="U379" s="3">
        <v>-297.6848</v>
      </c>
    </row>
    <row r="380" spans="1:21" ht="15.6">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8.6519999999999992</v>
      </c>
      <c r="S380" s="1">
        <v>3</v>
      </c>
      <c r="T380" s="1">
        <v>0.8</v>
      </c>
      <c r="U380" s="1">
        <v>-20.3322</v>
      </c>
    </row>
    <row r="381" spans="1:21" ht="15.6">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2.6810999999999998</v>
      </c>
    </row>
    <row r="382" spans="1:21" ht="15.6">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12.176</v>
      </c>
      <c r="S382" s="1">
        <v>4</v>
      </c>
      <c r="T382" s="1">
        <v>0.8</v>
      </c>
      <c r="U382" s="1">
        <v>-18.872800000000002</v>
      </c>
    </row>
    <row r="383" spans="1:21" ht="15.6">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row>
    <row r="384" spans="1:21" ht="15.6">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ht="15.6">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row>
    <row r="386" spans="1:21" ht="15.6">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375.45749999999998</v>
      </c>
      <c r="S386" s="1">
        <v>3</v>
      </c>
      <c r="T386" s="1">
        <v>0.45</v>
      </c>
      <c r="U386" s="1">
        <v>-157.0095</v>
      </c>
    </row>
    <row r="387" spans="1:21" ht="15.6">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83.975999999999999</v>
      </c>
      <c r="S387" s="3">
        <v>3</v>
      </c>
      <c r="T387" s="3">
        <v>0.2</v>
      </c>
      <c r="U387" s="3">
        <v>-1.0497000000000001</v>
      </c>
    </row>
    <row r="388" spans="1:21" ht="15.6">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v>
      </c>
      <c r="S388" s="1">
        <v>4</v>
      </c>
      <c r="T388" s="1">
        <v>0.7</v>
      </c>
      <c r="U388" s="1">
        <v>-337.63799999999998</v>
      </c>
    </row>
    <row r="389" spans="1:21" ht="15.6">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v>
      </c>
      <c r="S389" s="3">
        <v>1</v>
      </c>
      <c r="T389" s="3">
        <v>0.2</v>
      </c>
      <c r="U389" s="3">
        <v>0.77700000000000002</v>
      </c>
    </row>
    <row r="390" spans="1:21" ht="15.6">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0.4264</v>
      </c>
    </row>
    <row r="391" spans="1:21" ht="15.6">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7.8840000000000003</v>
      </c>
    </row>
    <row r="392" spans="1:21" ht="15.6">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13.5932</v>
      </c>
    </row>
    <row r="393" spans="1:21" ht="15.6">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246.38399999999999</v>
      </c>
      <c r="S393" s="3">
        <v>2</v>
      </c>
      <c r="T393" s="3">
        <v>0.2</v>
      </c>
      <c r="U393" s="3">
        <v>27.7182</v>
      </c>
    </row>
    <row r="394" spans="1:21" ht="15.6">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ht="15.6">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12.462</v>
      </c>
      <c r="S395" s="3">
        <v>3</v>
      </c>
      <c r="T395" s="3">
        <v>0.8</v>
      </c>
      <c r="U395" s="3">
        <v>-20.5623</v>
      </c>
    </row>
    <row r="396" spans="1:21" ht="15.6">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25.579799999999999</v>
      </c>
    </row>
    <row r="397" spans="1:21" ht="15.6">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9.4923999999999999</v>
      </c>
    </row>
    <row r="398" spans="1:21" ht="15.6">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6.2207999999999997</v>
      </c>
    </row>
    <row r="399" spans="1:21" ht="15.6">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21.036000000000001</v>
      </c>
    </row>
    <row r="400" spans="1:21" ht="15.6">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35.951999999999998</v>
      </c>
      <c r="S400" s="1">
        <v>3</v>
      </c>
      <c r="T400" s="1">
        <v>0.2</v>
      </c>
      <c r="U400" s="1">
        <v>3.5952000000000002</v>
      </c>
    </row>
    <row r="401" spans="1:21" ht="15.6">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2396.2656000000002</v>
      </c>
      <c r="S401" s="3">
        <v>4</v>
      </c>
      <c r="T401" s="3">
        <v>0.32</v>
      </c>
      <c r="U401" s="3">
        <v>-317.15280000000001</v>
      </c>
    </row>
    <row r="402" spans="1:21" ht="15.6">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ht="15.6">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0.719799999999999</v>
      </c>
    </row>
    <row r="404" spans="1:21" ht="15.6">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9.5679999999999996</v>
      </c>
      <c r="S404" s="1">
        <v>2</v>
      </c>
      <c r="T404" s="1">
        <v>0.2</v>
      </c>
      <c r="U404" s="1">
        <v>3.4683999999999999</v>
      </c>
    </row>
    <row r="405" spans="1:21" ht="15.6">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row>
    <row r="406" spans="1:21" ht="15.6">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35.909999999999997</v>
      </c>
      <c r="S406" s="1">
        <v>3</v>
      </c>
      <c r="T406" s="1">
        <v>0</v>
      </c>
      <c r="U406" s="1">
        <v>9.6957000000000004</v>
      </c>
    </row>
    <row r="407" spans="1:21" ht="15.6">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v>
      </c>
      <c r="S407" s="3">
        <v>5</v>
      </c>
      <c r="T407" s="3">
        <v>0</v>
      </c>
      <c r="U407" s="3">
        <v>37.789499999999997</v>
      </c>
    </row>
    <row r="408" spans="1:21" ht="15.6">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ht="15.6">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row>
    <row r="410" spans="1:21" ht="15.6">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1004.024</v>
      </c>
      <c r="S410" s="1">
        <v>7</v>
      </c>
      <c r="T410" s="1">
        <v>0.2</v>
      </c>
      <c r="U410" s="1">
        <v>-112.95269999999999</v>
      </c>
    </row>
    <row r="411" spans="1:21" ht="15.6">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row>
    <row r="412" spans="1:21" ht="15.6">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28.35</v>
      </c>
      <c r="S412" s="1">
        <v>9</v>
      </c>
      <c r="T412" s="1">
        <v>0</v>
      </c>
      <c r="U412" s="1">
        <v>13.608000000000001</v>
      </c>
    </row>
    <row r="413" spans="1:21" ht="15.6">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row>
    <row r="414" spans="1:21" ht="15.6">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31.454799999999899</v>
      </c>
    </row>
    <row r="415" spans="1:21" ht="15.6">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v>
      </c>
      <c r="S415" s="3">
        <v>2</v>
      </c>
      <c r="T415" s="3">
        <v>0.2</v>
      </c>
      <c r="U415" s="3">
        <v>-18.454799999999999</v>
      </c>
    </row>
    <row r="416" spans="1:21" ht="15.6">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65.734200000000001</v>
      </c>
    </row>
    <row r="417" spans="1:21" ht="15.6">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26.874400000000001</v>
      </c>
    </row>
    <row r="418" spans="1:21" ht="15.6">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25.898399999999999</v>
      </c>
    </row>
    <row r="419" spans="1:21" ht="15.6">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38.380000000000003</v>
      </c>
    </row>
    <row r="420" spans="1:21" ht="15.6">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2.8321999999999998</v>
      </c>
    </row>
    <row r="421" spans="1:21" ht="15.6">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2.7027999999999999</v>
      </c>
    </row>
    <row r="422" spans="1:21" ht="15.6">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7.0149999999999997</v>
      </c>
    </row>
    <row r="423" spans="1:21" ht="15.6">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56.566200000000002</v>
      </c>
    </row>
    <row r="424" spans="1:21" ht="15.6">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v>
      </c>
    </row>
    <row r="425" spans="1:21" ht="15.6">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8.5020000000000007</v>
      </c>
    </row>
    <row r="426" spans="1:21" ht="15.6">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ht="15.6">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row>
    <row r="428" spans="1:21" ht="15.6">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ht="15.6">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row>
    <row r="430" spans="1:21" ht="15.6">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6.6719999999999997</v>
      </c>
      <c r="S430" s="1">
        <v>6</v>
      </c>
      <c r="T430" s="1">
        <v>0.2</v>
      </c>
      <c r="U430" s="1">
        <v>0.50039999999999996</v>
      </c>
    </row>
    <row r="431" spans="1:21" ht="15.6">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189.58799999999999</v>
      </c>
      <c r="S431" s="3">
        <v>2</v>
      </c>
      <c r="T431" s="3">
        <v>0.7</v>
      </c>
      <c r="U431" s="3">
        <v>-145.35079999999999</v>
      </c>
    </row>
    <row r="432" spans="1:21" ht="15.6">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408.74400000000003</v>
      </c>
      <c r="S432" s="1">
        <v>7</v>
      </c>
      <c r="T432" s="1">
        <v>0.2</v>
      </c>
      <c r="U432" s="1">
        <v>76.639499999999998</v>
      </c>
    </row>
    <row r="433" spans="1:21" ht="15.6">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54.7425</v>
      </c>
    </row>
    <row r="434" spans="1:21" ht="15.6">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-0.77480000000000104</v>
      </c>
    </row>
    <row r="435" spans="1:21" ht="15.6">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v>
      </c>
      <c r="S435" s="3">
        <v>5</v>
      </c>
      <c r="T435" s="3">
        <v>0</v>
      </c>
      <c r="U435" s="3">
        <v>207.14699999999999</v>
      </c>
    </row>
    <row r="436" spans="1:21" ht="15.6">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-3.6892</v>
      </c>
    </row>
    <row r="437" spans="1:21" ht="15.6">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-18.585000000000001</v>
      </c>
    </row>
    <row r="438" spans="1:21" ht="15.6">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43.199100000000001</v>
      </c>
    </row>
    <row r="439" spans="1:21" ht="15.6">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113.63939999999999</v>
      </c>
    </row>
    <row r="440" spans="1:21" ht="15.6">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v>
      </c>
      <c r="S440" s="1">
        <v>8</v>
      </c>
      <c r="T440" s="1">
        <v>0.2</v>
      </c>
      <c r="U440" s="1">
        <v>11.553599999999999</v>
      </c>
    </row>
    <row r="441" spans="1:21" ht="15.6">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v>
      </c>
      <c r="S441" s="3">
        <v>3</v>
      </c>
      <c r="T441" s="3">
        <v>0.1</v>
      </c>
      <c r="U441" s="3">
        <v>2.3093999999999899</v>
      </c>
    </row>
    <row r="442" spans="1:21" ht="15.6">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3.6659999999999999</v>
      </c>
    </row>
    <row r="443" spans="1:21" ht="15.6">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23.392800000000001</v>
      </c>
    </row>
    <row r="444" spans="1:21" ht="15.6">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70.95</v>
      </c>
      <c r="S444" s="1">
        <v>3</v>
      </c>
      <c r="T444" s="1">
        <v>0</v>
      </c>
      <c r="U444" s="1">
        <v>20.575500000000002</v>
      </c>
    </row>
    <row r="445" spans="1:21" ht="15.6">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row>
    <row r="446" spans="1:21" ht="15.6">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29.152799999999999</v>
      </c>
    </row>
    <row r="447" spans="1:21" ht="15.6">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row>
    <row r="448" spans="1:21" ht="15.6">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ht="15.6">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59.52</v>
      </c>
      <c r="S449" s="3">
        <v>3</v>
      </c>
      <c r="T449" s="3">
        <v>0</v>
      </c>
      <c r="U449" s="3">
        <v>15.475199999999999</v>
      </c>
    </row>
    <row r="450" spans="1:21" ht="15.6">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9.7163999999999895</v>
      </c>
    </row>
    <row r="451" spans="1:21" ht="15.6">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row>
    <row r="452" spans="1:21" ht="15.6">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7.9248000000000003</v>
      </c>
    </row>
    <row r="453" spans="1:21" ht="15.6">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2.8536000000000001</v>
      </c>
    </row>
    <row r="454" spans="1:21" ht="15.6">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ht="15.6">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-75.830400000000097</v>
      </c>
    </row>
    <row r="456" spans="1:21" ht="15.6">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66.540800000000004</v>
      </c>
    </row>
    <row r="457" spans="1:21" ht="15.6">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v>
      </c>
    </row>
    <row r="458" spans="1:21" ht="15.6">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v>
      </c>
    </row>
    <row r="459" spans="1:21" ht="15.6">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-96.114600000000095</v>
      </c>
    </row>
    <row r="460" spans="1:21" ht="15.6">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ht="15.6">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row>
    <row r="462" spans="1:21" ht="15.6">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v>
      </c>
    </row>
    <row r="463" spans="1:21" ht="15.6">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18.6006</v>
      </c>
    </row>
    <row r="464" spans="1:21" ht="15.6">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7.0679999999999996</v>
      </c>
    </row>
    <row r="465" spans="1:21" ht="15.6">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1272.6300000000001</v>
      </c>
      <c r="S465" s="3">
        <v>6</v>
      </c>
      <c r="T465" s="3">
        <v>0.5</v>
      </c>
      <c r="U465" s="3">
        <v>-814.48320000000001</v>
      </c>
    </row>
    <row r="466" spans="1:21" ht="15.6">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-20.888999999999999</v>
      </c>
    </row>
    <row r="467" spans="1:21" ht="15.6">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-34.758000000000003</v>
      </c>
    </row>
    <row r="468" spans="1:21" ht="15.6">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ht="15.6">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v>
      </c>
      <c r="S469" s="3">
        <v>7</v>
      </c>
      <c r="T469" s="3">
        <v>0.6</v>
      </c>
      <c r="U469" s="3">
        <v>-312.06139999999999</v>
      </c>
    </row>
    <row r="470" spans="1:21" ht="15.6">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205.33279999999999</v>
      </c>
      <c r="S470" s="1">
        <v>2</v>
      </c>
      <c r="T470" s="1">
        <v>0.32</v>
      </c>
      <c r="U470" s="1">
        <v>-36.235199999999999</v>
      </c>
    </row>
    <row r="471" spans="1:21" ht="15.6">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4.7880000000000003</v>
      </c>
      <c r="S471" s="3">
        <v>3</v>
      </c>
      <c r="T471" s="3">
        <v>0.8</v>
      </c>
      <c r="U471" s="3">
        <v>-7.9001999999999999</v>
      </c>
    </row>
    <row r="472" spans="1:21" ht="15.6">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26.630400000000002</v>
      </c>
    </row>
    <row r="473" spans="1:21" ht="15.6">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3.4091999999999798</v>
      </c>
    </row>
    <row r="474" spans="1:21" ht="15.6">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222.666</v>
      </c>
      <c r="S474" s="1">
        <v>2</v>
      </c>
      <c r="T474" s="1">
        <v>0.15</v>
      </c>
      <c r="U474" s="1">
        <v>10.478400000000001</v>
      </c>
    </row>
    <row r="475" spans="1:21" ht="15.6">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703.96799999999996</v>
      </c>
      <c r="S475" s="3">
        <v>4</v>
      </c>
      <c r="T475" s="3">
        <v>0.2</v>
      </c>
      <c r="U475" s="3">
        <v>87.995999999999896</v>
      </c>
    </row>
    <row r="476" spans="1:21" ht="15.6">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24.980399999999999</v>
      </c>
    </row>
    <row r="477" spans="1:21" ht="15.6">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62.65</v>
      </c>
      <c r="S477" s="3">
        <v>7</v>
      </c>
      <c r="T477" s="3">
        <v>0</v>
      </c>
      <c r="U477" s="3">
        <v>28.818999999999999</v>
      </c>
    </row>
    <row r="478" spans="1:21" ht="15.6">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45.527999999999999</v>
      </c>
    </row>
    <row r="479" spans="1:21" ht="15.6">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7.1820000000000004</v>
      </c>
    </row>
    <row r="480" spans="1:21" ht="15.6">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ht="15.6">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row>
    <row r="482" spans="1:21" ht="15.6">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ht="15.6">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1.9089</v>
      </c>
    </row>
    <row r="484" spans="1:21" ht="15.6">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ht="15.6">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row>
    <row r="486" spans="1:21" ht="15.6">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ht="15.6">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-30.245000000000001</v>
      </c>
    </row>
    <row r="488" spans="1:21" ht="15.6">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17.497499999999999</v>
      </c>
    </row>
    <row r="489" spans="1:21" ht="15.6">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341.99400000000003</v>
      </c>
    </row>
    <row r="490" spans="1:21" ht="15.6">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v>
      </c>
      <c r="S490" s="1">
        <v>1</v>
      </c>
      <c r="T490" s="1">
        <v>0.2</v>
      </c>
      <c r="U490" s="1">
        <v>0.59940000000000004</v>
      </c>
    </row>
    <row r="491" spans="1:21" ht="15.6">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63.984000000000002</v>
      </c>
      <c r="S491" s="3">
        <v>2</v>
      </c>
      <c r="T491" s="3">
        <v>0.2</v>
      </c>
      <c r="U491" s="3">
        <v>10.397399999999999</v>
      </c>
    </row>
    <row r="492" spans="1:21" ht="15.6">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6.1571999999999996</v>
      </c>
    </row>
    <row r="493" spans="1:21" ht="15.6">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8.9829999999999899</v>
      </c>
    </row>
    <row r="494" spans="1:21" ht="15.6">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5.0922000000000001</v>
      </c>
    </row>
    <row r="495" spans="1:21" ht="15.6">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v>
      </c>
    </row>
    <row r="496" spans="1:21" ht="15.6">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-94.941000000000003</v>
      </c>
    </row>
    <row r="497" spans="1:21" ht="15.6">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row>
    <row r="498" spans="1:21" ht="15.6">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v>
      </c>
      <c r="S498" s="1">
        <v>8</v>
      </c>
      <c r="T498" s="1">
        <v>0.2</v>
      </c>
      <c r="U498" s="1">
        <v>40.370399999999997</v>
      </c>
    </row>
    <row r="499" spans="1:21" ht="15.6">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row>
    <row r="500" spans="1:21" ht="15.6">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241.56800000000001</v>
      </c>
      <c r="S500" s="1">
        <v>2</v>
      </c>
      <c r="T500" s="1">
        <v>0.2</v>
      </c>
      <c r="U500" s="1">
        <v>18.117599999999999</v>
      </c>
    </row>
    <row r="501" spans="1:21" ht="15.6">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22.869</v>
      </c>
    </row>
    <row r="502" spans="1:21" ht="15.6">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v>
      </c>
      <c r="S502" s="1">
        <v>2</v>
      </c>
      <c r="T502" s="1">
        <v>0.7</v>
      </c>
      <c r="U502" s="1">
        <v>-15.08</v>
      </c>
    </row>
    <row r="503" spans="1:21" ht="15.6">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v>
      </c>
      <c r="S503" s="3">
        <v>2</v>
      </c>
      <c r="T503" s="3">
        <v>0.7</v>
      </c>
      <c r="U503" s="3">
        <v>-11.961600000000001</v>
      </c>
    </row>
    <row r="504" spans="1:21" ht="15.6">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801.56799999999998</v>
      </c>
      <c r="S504" s="1">
        <v>2</v>
      </c>
      <c r="T504" s="1">
        <v>0.2</v>
      </c>
      <c r="U504" s="1">
        <v>50.097999999999999</v>
      </c>
    </row>
    <row r="505" spans="1:21" ht="15.6">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2.3759999999999999</v>
      </c>
      <c r="S505" s="3">
        <v>3</v>
      </c>
      <c r="T505" s="3">
        <v>0.7</v>
      </c>
      <c r="U505" s="3">
        <v>-1.9008</v>
      </c>
    </row>
    <row r="506" spans="1:21" ht="15.6">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ht="15.6">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v>
      </c>
      <c r="S507" s="3">
        <v>5</v>
      </c>
      <c r="T507" s="3">
        <v>0.2</v>
      </c>
      <c r="U507" s="3">
        <v>5.3730000000000002</v>
      </c>
    </row>
    <row r="508" spans="1:21" ht="15.6">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0.73980000000000001</v>
      </c>
    </row>
    <row r="509" spans="1:21" ht="15.6">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2.1684000000000001</v>
      </c>
    </row>
    <row r="510" spans="1:21" ht="15.6">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11.685</v>
      </c>
    </row>
    <row r="511" spans="1:21" ht="15.6">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row>
    <row r="512" spans="1:21" ht="15.6">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v>
      </c>
      <c r="S512" s="1">
        <v>3</v>
      </c>
      <c r="T512" s="1">
        <v>0</v>
      </c>
      <c r="U512" s="1">
        <v>40.415999999999997</v>
      </c>
    </row>
    <row r="513" spans="1:21" ht="15.6">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12.172800000000001</v>
      </c>
    </row>
    <row r="514" spans="1:21" ht="15.6">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7.1520000000000001</v>
      </c>
      <c r="S514" s="1">
        <v>3</v>
      </c>
      <c r="T514" s="1">
        <v>0.2</v>
      </c>
      <c r="U514" s="1">
        <v>0.71519999999999995</v>
      </c>
    </row>
    <row r="515" spans="1:21" ht="15.6">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row>
    <row r="516" spans="1:21" ht="15.6">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1.7052</v>
      </c>
    </row>
    <row r="517" spans="1:21" ht="15.6">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1379.9770000000001</v>
      </c>
    </row>
    <row r="518" spans="1:21" ht="15.6">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51.45</v>
      </c>
      <c r="S518" s="1">
        <v>3</v>
      </c>
      <c r="T518" s="1">
        <v>0</v>
      </c>
      <c r="U518" s="1">
        <v>13.891500000000001</v>
      </c>
    </row>
    <row r="519" spans="1:21" ht="15.6">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row>
    <row r="520" spans="1:21" ht="15.6">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56.301000000000002</v>
      </c>
    </row>
    <row r="521" spans="1:21" ht="15.6">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row>
    <row r="522" spans="1:21" ht="15.6">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-25.913599999999999</v>
      </c>
    </row>
    <row r="523" spans="1:21" ht="15.6">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14.112</v>
      </c>
      <c r="S523" s="3">
        <v>9</v>
      </c>
      <c r="T523" s="3">
        <v>0.8</v>
      </c>
      <c r="U523" s="3">
        <v>-21.167999999999999</v>
      </c>
    </row>
    <row r="524" spans="1:21" ht="15.6">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21.097999999999999</v>
      </c>
    </row>
    <row r="525" spans="1:21" ht="15.6">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-12.4146</v>
      </c>
    </row>
    <row r="526" spans="1:21" ht="15.6">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27.166599999999999</v>
      </c>
    </row>
    <row r="527" spans="1:21" ht="15.6">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v>
      </c>
      <c r="S527" s="3">
        <v>5</v>
      </c>
      <c r="T527" s="3">
        <v>0</v>
      </c>
      <c r="U527" s="3">
        <v>10.433999999999999</v>
      </c>
    </row>
    <row r="528" spans="1:21" ht="15.6">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v>
      </c>
      <c r="S528" s="1">
        <v>3</v>
      </c>
      <c r="T528" s="1">
        <v>0.2</v>
      </c>
      <c r="U528" s="1">
        <v>42.747</v>
      </c>
    </row>
    <row r="529" spans="1:21" ht="15.6">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5.1407999999999898</v>
      </c>
    </row>
    <row r="530" spans="1:21" ht="15.6">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36.335999999999999</v>
      </c>
      <c r="S530" s="1">
        <v>3</v>
      </c>
      <c r="T530" s="1">
        <v>0.2</v>
      </c>
      <c r="U530" s="1">
        <v>-7.2671999999999999</v>
      </c>
    </row>
    <row r="531" spans="1:21" ht="15.6">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row>
    <row r="532" spans="1:21" ht="15.6">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ht="15.6">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v>
      </c>
      <c r="S533" s="3">
        <v>1</v>
      </c>
      <c r="T533" s="3">
        <v>0.2</v>
      </c>
      <c r="U533" s="3">
        <v>11.92</v>
      </c>
    </row>
    <row r="534" spans="1:21" ht="15.6">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2.3969999999999998</v>
      </c>
    </row>
    <row r="535" spans="1:21" ht="15.6">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274.38600000000002</v>
      </c>
    </row>
    <row r="536" spans="1:21" ht="15.6">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ht="15.6">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row>
    <row r="538" spans="1:21" ht="15.6">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42.616</v>
      </c>
      <c r="S538" s="1">
        <v>7</v>
      </c>
      <c r="T538" s="1">
        <v>0.8</v>
      </c>
      <c r="U538" s="1">
        <v>-68.185599999999994</v>
      </c>
    </row>
    <row r="539" spans="1:21" ht="15.6">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3.36</v>
      </c>
    </row>
    <row r="540" spans="1:21" ht="15.6">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41.293799999999997</v>
      </c>
    </row>
    <row r="541" spans="1:21" ht="15.6">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v>
      </c>
    </row>
    <row r="542" spans="1:21" ht="15.6">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v>
      </c>
      <c r="S542" s="1">
        <v>6</v>
      </c>
      <c r="T542" s="1">
        <v>0</v>
      </c>
      <c r="U542" s="1">
        <v>206.316</v>
      </c>
    </row>
    <row r="543" spans="1:21" ht="15.6">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380.86399999999998</v>
      </c>
      <c r="S543" s="3">
        <v>8</v>
      </c>
      <c r="T543" s="3">
        <v>0.2</v>
      </c>
      <c r="U543" s="3">
        <v>38.086399999999998</v>
      </c>
    </row>
    <row r="544" spans="1:21" ht="15.6">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646.77599999999995</v>
      </c>
      <c r="S544" s="1">
        <v>9</v>
      </c>
      <c r="T544" s="1">
        <v>0.2</v>
      </c>
      <c r="U544" s="1">
        <v>-145.52459999999999</v>
      </c>
    </row>
    <row r="545" spans="1:21" ht="15.6">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7.2639999999999896</v>
      </c>
    </row>
    <row r="546" spans="1:21" ht="15.6">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6.2995000000000001</v>
      </c>
    </row>
    <row r="547" spans="1:21" ht="15.6">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66.111999999999995</v>
      </c>
      <c r="S547" s="3">
        <v>4</v>
      </c>
      <c r="T547" s="3">
        <v>0.6</v>
      </c>
      <c r="U547" s="3">
        <v>-84.2928</v>
      </c>
    </row>
    <row r="548" spans="1:21" ht="15.6">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13.932</v>
      </c>
    </row>
    <row r="549" spans="1:21" ht="15.6">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row>
    <row r="550" spans="1:21" ht="15.6">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15.641999999999999</v>
      </c>
    </row>
    <row r="551" spans="1:21" ht="15.6">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11.364000000000001</v>
      </c>
      <c r="S551" s="3">
        <v>3</v>
      </c>
      <c r="T551" s="3">
        <v>0.8</v>
      </c>
      <c r="U551" s="3">
        <v>-17.045999999999999</v>
      </c>
    </row>
    <row r="552" spans="1:21" ht="15.6">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v>
      </c>
    </row>
    <row r="553" spans="1:21" ht="15.6">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row>
    <row r="554" spans="1:21" ht="15.6">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34.503999999999998</v>
      </c>
      <c r="S554" s="1">
        <v>1</v>
      </c>
      <c r="T554" s="1">
        <v>0.2</v>
      </c>
      <c r="U554" s="1">
        <v>6.0381999999999998</v>
      </c>
    </row>
    <row r="555" spans="1:21" ht="15.6">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row>
    <row r="556" spans="1:21" ht="15.6">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310.98719999999997</v>
      </c>
    </row>
    <row r="557" spans="1:21" ht="15.6">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v>
      </c>
      <c r="S557" s="3">
        <v>4</v>
      </c>
      <c r="T557" s="3">
        <v>0.2</v>
      </c>
      <c r="U557" s="3">
        <v>3.4047999999999998</v>
      </c>
    </row>
    <row r="558" spans="1:21" ht="15.6">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ht="15.6">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v>
      </c>
    </row>
    <row r="560" spans="1:21" ht="15.6">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v>
      </c>
      <c r="S560" s="1">
        <v>5</v>
      </c>
      <c r="T560" s="1">
        <v>0</v>
      </c>
      <c r="U560" s="1">
        <v>15.552</v>
      </c>
    </row>
    <row r="561" spans="1:21" ht="15.6">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42.6</v>
      </c>
      <c r="S561" s="3">
        <v>3</v>
      </c>
      <c r="T561" s="3">
        <v>0</v>
      </c>
      <c r="U561" s="3">
        <v>16.614000000000001</v>
      </c>
    </row>
    <row r="562" spans="1:21" ht="15.6">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84.055999999999997</v>
      </c>
      <c r="S562" s="1">
        <v>7</v>
      </c>
      <c r="T562" s="1">
        <v>0.2</v>
      </c>
      <c r="U562" s="1">
        <v>27.318200000000001</v>
      </c>
    </row>
    <row r="563" spans="1:21" ht="15.6">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v>
      </c>
    </row>
    <row r="564" spans="1:21" ht="15.6">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ht="15.6">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row>
    <row r="566" spans="1:21" ht="15.6">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ht="15.6">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374.37599999999998</v>
      </c>
      <c r="S567" s="3">
        <v>3</v>
      </c>
      <c r="T567" s="3">
        <v>0.2</v>
      </c>
      <c r="U567" s="3">
        <v>46.796999999999997</v>
      </c>
    </row>
    <row r="568" spans="1:21" ht="15.6">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ht="15.6">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81.087999999999994</v>
      </c>
      <c r="S569" s="3">
        <v>7</v>
      </c>
      <c r="T569" s="3">
        <v>0.2</v>
      </c>
      <c r="U569" s="3">
        <v>27.3672</v>
      </c>
    </row>
    <row r="570" spans="1:21" ht="15.6">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ht="15.6">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451.15199999999999</v>
      </c>
      <c r="S571" s="3">
        <v>3</v>
      </c>
      <c r="T571" s="3">
        <v>0.2</v>
      </c>
      <c r="U571" s="3">
        <v>0</v>
      </c>
    </row>
    <row r="572" spans="1:21" ht="15.6">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34.776000000000003</v>
      </c>
    </row>
    <row r="573" spans="1:21" ht="15.6">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row>
    <row r="574" spans="1:21" ht="15.6">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ht="15.6">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v>
      </c>
      <c r="S575" s="3">
        <v>3</v>
      </c>
      <c r="T575" s="3">
        <v>0</v>
      </c>
      <c r="U575" s="3">
        <v>4.0095000000000001</v>
      </c>
    </row>
    <row r="576" spans="1:21" ht="15.6">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ht="15.6">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78.752799999999993</v>
      </c>
    </row>
    <row r="578" spans="1:21" ht="15.6">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9.7607999999999997</v>
      </c>
    </row>
    <row r="579" spans="1:21" ht="15.6">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2.19</v>
      </c>
    </row>
    <row r="580" spans="1:21" ht="15.6">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8.7140000000000004</v>
      </c>
    </row>
    <row r="581" spans="1:21" ht="15.6">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row>
    <row r="582" spans="1:21" ht="15.6">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1.5456000000000001</v>
      </c>
    </row>
    <row r="583" spans="1:21" ht="15.6">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470.37599999999998</v>
      </c>
      <c r="S583" s="3">
        <v>3</v>
      </c>
      <c r="T583" s="3">
        <v>0.2</v>
      </c>
      <c r="U583" s="3">
        <v>52.917299999999997</v>
      </c>
    </row>
    <row r="584" spans="1:21" ht="15.6">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9.2386000000000106</v>
      </c>
    </row>
    <row r="585" spans="1:21" ht="15.6">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3.5045999999999999</v>
      </c>
    </row>
    <row r="586" spans="1:21" ht="15.6">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-4.7481</v>
      </c>
    </row>
    <row r="587" spans="1:21" ht="15.6">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30.477599999999999</v>
      </c>
    </row>
    <row r="588" spans="1:21" ht="15.6">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4.9686000000000003</v>
      </c>
    </row>
    <row r="589" spans="1:21" ht="15.6">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row>
    <row r="590" spans="1:21" ht="15.6">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-20.136199999999999</v>
      </c>
    </row>
    <row r="591" spans="1:21" ht="15.6">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20.736000000000001</v>
      </c>
      <c r="S591" s="3">
        <v>4</v>
      </c>
      <c r="T591" s="3">
        <v>0.2</v>
      </c>
      <c r="U591" s="3">
        <v>7.2576000000000001</v>
      </c>
    </row>
    <row r="592" spans="1:21" ht="15.6">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16.821000000000002</v>
      </c>
      <c r="S592" s="1">
        <v>3</v>
      </c>
      <c r="T592" s="1">
        <v>0.7</v>
      </c>
      <c r="U592" s="1">
        <v>-12.896100000000001</v>
      </c>
    </row>
    <row r="593" spans="1:21" ht="15.6">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v>
      </c>
      <c r="S593" s="3">
        <v>2</v>
      </c>
      <c r="T593" s="3">
        <v>0.2</v>
      </c>
      <c r="U593" s="3">
        <v>3.6288</v>
      </c>
    </row>
    <row r="594" spans="1:21" ht="15.6">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1.1679999999999999</v>
      </c>
    </row>
    <row r="595" spans="1:21" ht="15.6">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v>
      </c>
      <c r="S595" s="3">
        <v>3</v>
      </c>
      <c r="T595" s="3">
        <v>0.2</v>
      </c>
      <c r="U595" s="3">
        <v>9.75</v>
      </c>
    </row>
    <row r="596" spans="1:21" ht="15.6">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22.0748</v>
      </c>
    </row>
    <row r="597" spans="1:21" ht="15.6">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row>
    <row r="598" spans="1:21" ht="15.6">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v>
      </c>
      <c r="S598" s="1">
        <v>5</v>
      </c>
      <c r="T598" s="1">
        <v>0.2</v>
      </c>
      <c r="U598" s="1">
        <v>55.744999999999898</v>
      </c>
    </row>
    <row r="599" spans="1:21" ht="15.6">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91.772800000000004</v>
      </c>
    </row>
    <row r="600" spans="1:21" ht="15.6">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v>
      </c>
    </row>
    <row r="601" spans="1:21" ht="15.6">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143.982</v>
      </c>
      <c r="S601" s="3">
        <v>3</v>
      </c>
      <c r="T601" s="3">
        <v>0.4</v>
      </c>
      <c r="U601" s="3">
        <v>-28.796399999999998</v>
      </c>
    </row>
    <row r="602" spans="1:21" ht="15.6">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v>
      </c>
    </row>
    <row r="603" spans="1:21" ht="15.6">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0.73</v>
      </c>
    </row>
    <row r="604" spans="1:21" ht="15.6">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17.847000000000001</v>
      </c>
    </row>
    <row r="605" spans="1:21" ht="15.6">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5.1407999999999898</v>
      </c>
    </row>
    <row r="606" spans="1:21" ht="15.6">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-5.5338000000000003</v>
      </c>
    </row>
    <row r="607" spans="1:21" ht="15.6">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43.188000000000002</v>
      </c>
      <c r="S607" s="3">
        <v>4</v>
      </c>
      <c r="T607" s="3">
        <v>0.7</v>
      </c>
      <c r="U607" s="3">
        <v>-31.671199999999999</v>
      </c>
    </row>
    <row r="608" spans="1:21" ht="15.6">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47.815199999999997</v>
      </c>
    </row>
    <row r="609" spans="1:21" ht="15.6">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v>
      </c>
      <c r="S609" s="3">
        <v>2</v>
      </c>
      <c r="T609" s="3">
        <v>0.7</v>
      </c>
      <c r="U609" s="3">
        <v>-2.6255999999999999</v>
      </c>
    </row>
    <row r="610" spans="1:21" ht="15.6">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2.3814000000000002</v>
      </c>
    </row>
    <row r="611" spans="1:21" ht="15.6">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-10.117800000000001</v>
      </c>
    </row>
    <row r="612" spans="1:21" ht="15.6">
      <c r="A612" s="6">
        <v>611</v>
      </c>
      <c r="B612" s="6" t="s">
        <v>2026</v>
      </c>
      <c r="C612" s="7">
        <v>42488</v>
      </c>
      <c r="D612" s="7">
        <v>42491</v>
      </c>
      <c r="E612" s="6" t="s">
        <v>187</v>
      </c>
      <c r="F612" s="6" t="s">
        <v>2027</v>
      </c>
      <c r="G612" s="6" t="s">
        <v>2028</v>
      </c>
      <c r="H612" s="6" t="s">
        <v>40</v>
      </c>
      <c r="I612" s="6" t="s">
        <v>26</v>
      </c>
      <c r="J612" s="6" t="s">
        <v>816</v>
      </c>
      <c r="K612" s="6" t="s">
        <v>103</v>
      </c>
      <c r="L612" s="6">
        <v>75217</v>
      </c>
      <c r="M612" s="6" t="s">
        <v>104</v>
      </c>
      <c r="N612" s="6" t="s">
        <v>1381</v>
      </c>
      <c r="O612" s="6" t="s">
        <v>70</v>
      </c>
      <c r="P612" s="6" t="s">
        <v>71</v>
      </c>
      <c r="Q612" s="6" t="s">
        <v>1382</v>
      </c>
      <c r="R612" s="6">
        <v>369.57600000000002</v>
      </c>
      <c r="S612" s="6">
        <v>3</v>
      </c>
      <c r="T612" s="6">
        <v>0.2</v>
      </c>
      <c r="U612" s="6">
        <v>41.577300000000001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C7DC6-3D72-4892-9998-7702D0C97E94}">
  <dimension ref="A1"/>
  <sheetViews>
    <sheetView showGridLines="0" showRowColHeaders="0" zoomScale="46" workbookViewId="0">
      <selection activeCell="AL45" sqref="AL4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T</dc:creator>
  <cp:lastModifiedBy>Praveen T</cp:lastModifiedBy>
  <dcterms:created xsi:type="dcterms:W3CDTF">2026-07-05T04:33:09Z</dcterms:created>
  <dcterms:modified xsi:type="dcterms:W3CDTF">2026-08-19T08:47:06Z</dcterms:modified>
</cp:coreProperties>
</file>